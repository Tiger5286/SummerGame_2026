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ummerGame_2026\"/>
    </mc:Choice>
  </mc:AlternateContent>
  <xr:revisionPtr revIDLastSave="0" documentId="13_ncr:1_{A06D30C3-3338-4BEA-A411-87F3C2F6FA7F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K4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<sst xmlns="http://schemas.openxmlformats.org/spreadsheetml/2006/main" count="622" uniqueCount="213">
  <si>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</si>
  <si>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</si>
  <si>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</si>
  <si>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</si>
  <si>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</si>
  <si>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</si>
  <si>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</si>
  <si>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</si>
  <si>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</si>
  <si>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</si>
  <si>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</si>
  <si>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</si>
  <si>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</si>
  <si>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</si>
  <si>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</si>
  <si>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</si>
  <si>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</si>
  <si>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</si>
  <si>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</si>
  <si>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</si>
  <si>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</si>
  <si>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</si>
  <si>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</si>
  <si>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</si>
  <si>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</si>
  <si>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</si>
  <si>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</si>
  <si>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</si>
  <si>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</si>
  <si>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</si>
  <si>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</si>
  <si>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</si>
  <si>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</si>
  <si>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</si>
  <si>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</si>
  <si>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</si>
  <si>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</si>
  <si>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</si>
  <si>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</si>
  <si>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</si>
  <si>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</si>
  <si>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</si>
  <si>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</si>
  <si>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</si>
  <si>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</si>
  <si>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</si>
  <si>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</si>
  <si>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</si>
  <si>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</si>
  <si>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</si>
  <si>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</si>
  <si>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</si>
  <si>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</si>
  <si>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</si>
  <si>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</si>
  <si>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</si>
  <si>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</si>
  <si>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</si>
  <si>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</si>
  <si>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</si>
  <si>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</si>
  <si>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</si>
  <si>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</si>
  <si>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</si>
  <si>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</si>
  <si>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</si>
  <si>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</si>
  <si>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</si>
  <si>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</si>
  <si>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</si>
  <si>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</si>
  <si>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</si>
  <si>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</si>
  <si>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</si>
  <si>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</si>
  <si>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</si>
  <si>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</si>
  <si>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</si>
  <si>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</si>
  <si>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</si>
  <si>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</si>
  <si>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</si>
  <si>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</si>
  <si>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</si>
  <si>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</si>
  <si>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</si>
  <si>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</si>
  <si>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</si>
  <si>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</si>
  <si>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</si>
  <si>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</si>
  <si>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</si>
  <si>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</si>
  <si>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</si>
  <si>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</si>
  <si>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</si>
  <si>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</si>
  <si>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</si>
  <si>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</si>
  <si>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</si>
  <si>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</si>
  <si>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</si>
  <si>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</si>
  <si>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</si>
  <si>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</si>
  <si>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</si>
  <si>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</si>
  <si>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</si>
  <si>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</si>
  <si>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</si>
  <si>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</si>
  <si>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</si>
  <si>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</si>
  <si>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</si>
  <si>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</si>
  <si>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</si>
  <si>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</si>
  <si>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</si>
  <si>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</si>
  <si>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</si>
  <si>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</si>
  <si>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</si>
  <si>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</si>
  <si>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</si>
  <si>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</si>
  <si>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</si>
  <si>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</si>
  <si>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</si>
  <si>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</si>
  <si>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</si>
  <si>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</si>
  <si>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</si>
  <si>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</si>
  <si>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</si>
  <si>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</si>
  <si>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</si>
  <si>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</si>
  <si>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</si>
  <si>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</si>
  <si>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</si>
  <si>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</si>
  <si>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</si>
  <si>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</si>
  <si>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</si>
  <si>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</si>
  <si>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</si>
  <si>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</si>
  <si>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</si>
  <si>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</si>
  <si>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</si>
  <si>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</si>
  <si>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</si>
  <si>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</si>
  <si>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</si>
  <si>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</si>
  <si>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</si>
  <si>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</si>
  <si>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</si>
  <si>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</si>
  <si>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</si>
  <si>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</si>
  <si>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</si>
  <si>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</si>
  <si>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</si>
  <si>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</si>
  <si>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</si>
  <si>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</si>
  <si>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</si>
  <si>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</si>
  <si>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</si>
  <si>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</si>
  <si>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</si>
  <si>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</si>
  <si>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</si>
  <si>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</si>
  <si>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オークロード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</si>
  <si>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</si>
  <si>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</si>
  <si>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</si>
  <si>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</si>
  <si>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</si>
  <si>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</si>
  <si>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</si>
  <si>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</si>
  <si>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</si>
  <si>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</si>
  <si>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</si>
  <si>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</si>
  <si>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</si>
  <si>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</si>
  <si>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</si>
  <si>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</si>
  <si>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</si>
  <si>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</si>
  <si>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</si>
  <si>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</si>
  <si>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</si>
  <si>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</si>
  <si>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</si>
  <si>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</si>
  <si>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</si>
  <si>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</si>
  <si>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</si>
  <si>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</si>
  <si>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</si>
  <si>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</si>
  <si>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</si>
  <si>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</si>
  <si>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</si>
  <si>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</si>
  <si>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</si>
  <si>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</si>
  <si>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未着手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</si>
</sst>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9"/>
  <sheetViews>
    <sheetView tabSelected="1" workbookViewId="0">
      <selection activeCell="L4" sqref="L4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SUM(E4:E107)</f>
        <v>162</v>
      </c>
      <c r="K4">
        <f>SUMIFS(E4:E101,G4:G101,"未着手") +SUMIFS(E4:E101,G4:G101,"作業中")</f>
        <v>83</v>
      </c>
      <c r="L4">
        <f xml:space="preserve"> K4 / J4</f>
        <v>0.51234567901234573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SUMIFS(E4:E107,D4:D107,"プロト")</f>
        <v>162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SUMIFS(E4:E107,D4:D107,"アルファ")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SUMIFS(E4:E107,D4:D107,"ベータ")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SUMIFS(E4:E107,D4:D107,"マスター")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176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177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178</v>
      </c>
      <c r="C15" t="s">
        <v>34</v>
      </c>
      <c r="D15" t="s">
        <v>33</v>
      </c>
      <c r="E15">
        <v>3</v>
      </c>
      <c r="G15" s="10" t="s">
        <v>74</v>
      </c>
    </row>
    <row r="16" spans="1:12" ht="19.5" thickBot="1" x14ac:dyDescent="0.45">
      <c r="A16" s="9"/>
      <c r="B16" s="10" t="s">
        <v>179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>
        <v>4</v>
      </c>
      <c r="G19" s="13" t="s">
        <v>74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F24">
        <v>2</v>
      </c>
      <c r="G24" s="10" t="s">
        <v>74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74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74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74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ht="19.5" thickBot="1" x14ac:dyDescent="0.45">
      <c r="A35" s="9"/>
      <c r="B35" s="10" t="s">
        <v>211</v>
      </c>
      <c r="C35" s="69" t="s">
        <v>34</v>
      </c>
      <c r="D35" s="69" t="s">
        <v>33</v>
      </c>
      <c r="E35" s="69">
        <v>6</v>
      </c>
      <c r="F35" s="68"/>
      <c r="G35" s="10" t="s">
        <v>168</v>
      </c>
    </row>
    <row r="36" spans="1:7" x14ac:dyDescent="0.4">
      <c r="A36" s="6" t="s">
        <v>181</v>
      </c>
      <c r="B36" s="8" t="s">
        <v>183</v>
      </c>
      <c r="C36" s="7" t="s">
        <v>186</v>
      </c>
      <c r="D36" s="7" t="s">
        <v>187</v>
      </c>
      <c r="E36" s="7">
        <v>3</v>
      </c>
      <c r="F36" s="7"/>
      <c r="G36" s="8" t="s">
        <v>180</v>
      </c>
    </row>
    <row r="37" spans="1:7" x14ac:dyDescent="0.4">
      <c r="A37" s="9"/>
      <c r="B37" s="10" t="s">
        <v>182</v>
      </c>
      <c r="C37" t="s">
        <v>186</v>
      </c>
      <c r="D37" t="s">
        <v>187</v>
      </c>
      <c r="E37">
        <v>2</v>
      </c>
      <c r="G37" s="10" t="s">
        <v>180</v>
      </c>
    </row>
    <row r="38" spans="1:7" x14ac:dyDescent="0.4">
      <c r="A38" s="9"/>
      <c r="B38" s="10" t="s">
        <v>184</v>
      </c>
      <c r="C38" t="s">
        <v>186</v>
      </c>
      <c r="D38" t="s">
        <v>187</v>
      </c>
      <c r="E38">
        <v>2</v>
      </c>
      <c r="G38" s="10" t="s">
        <v>180</v>
      </c>
    </row>
    <row r="39" spans="1:7" ht="19.5" thickBot="1" x14ac:dyDescent="0.45">
      <c r="A39" s="9"/>
      <c r="B39" s="10" t="s">
        <v>185</v>
      </c>
      <c r="C39" t="s">
        <v>186</v>
      </c>
      <c r="D39" t="s">
        <v>187</v>
      </c>
      <c r="E39">
        <v>3</v>
      </c>
      <c r="G39" s="10" t="s">
        <v>180</v>
      </c>
    </row>
    <row r="40" spans="1:7" x14ac:dyDescent="0.4">
      <c r="A40" s="6" t="s">
        <v>188</v>
      </c>
      <c r="B40" s="7" t="s">
        <v>189</v>
      </c>
      <c r="C40" s="6" t="s">
        <v>186</v>
      </c>
      <c r="D40" s="7" t="s">
        <v>187</v>
      </c>
      <c r="E40" s="7">
        <v>3</v>
      </c>
      <c r="F40" s="7"/>
      <c r="G40" s="10" t="s">
        <v>212</v>
      </c>
    </row>
    <row r="41" spans="1:7" x14ac:dyDescent="0.4">
      <c r="A41" s="9"/>
      <c r="B41" t="s">
        <v>190</v>
      </c>
      <c r="C41" s="9" t="s">
        <v>186</v>
      </c>
      <c r="D41" t="s">
        <v>187</v>
      </c>
      <c r="E41" s="69">
        <v>3</v>
      </c>
      <c r="G41" s="10" t="s">
        <v>35</v>
      </c>
    </row>
    <row r="42" spans="1:7" x14ac:dyDescent="0.4">
      <c r="A42" s="9"/>
      <c r="B42" t="s">
        <v>191</v>
      </c>
      <c r="C42" s="9" t="s">
        <v>186</v>
      </c>
      <c r="D42" t="s">
        <v>187</v>
      </c>
      <c r="E42" s="69">
        <v>4</v>
      </c>
      <c r="G42" s="10" t="s">
        <v>35</v>
      </c>
    </row>
    <row r="43" spans="1:7" x14ac:dyDescent="0.4">
      <c r="A43" s="9"/>
      <c r="B43" t="s">
        <v>192</v>
      </c>
      <c r="C43" s="9" t="s">
        <v>186</v>
      </c>
      <c r="D43" t="s">
        <v>187</v>
      </c>
      <c r="E43" s="69">
        <v>4</v>
      </c>
      <c r="G43" s="10" t="s">
        <v>35</v>
      </c>
    </row>
    <row r="44" spans="1:7" x14ac:dyDescent="0.4">
      <c r="A44" s="9"/>
      <c r="B44" t="s">
        <v>199</v>
      </c>
      <c r="C44" s="9" t="s">
        <v>186</v>
      </c>
      <c r="D44" t="s">
        <v>187</v>
      </c>
      <c r="E44" s="69">
        <v>2</v>
      </c>
      <c r="G44" s="10" t="s">
        <v>35</v>
      </c>
    </row>
    <row r="45" spans="1:7" x14ac:dyDescent="0.4">
      <c r="A45" s="9"/>
      <c r="B45" t="s">
        <v>200</v>
      </c>
      <c r="C45" s="9" t="s">
        <v>186</v>
      </c>
      <c r="D45" t="s">
        <v>187</v>
      </c>
      <c r="E45" s="69">
        <v>3</v>
      </c>
      <c r="G45" s="10" t="s">
        <v>35</v>
      </c>
    </row>
    <row r="46" spans="1:7" x14ac:dyDescent="0.4">
      <c r="A46" s="9"/>
      <c r="B46" t="s">
        <v>201</v>
      </c>
      <c r="C46" s="9" t="s">
        <v>186</v>
      </c>
      <c r="D46" t="s">
        <v>187</v>
      </c>
      <c r="E46" s="69">
        <v>3</v>
      </c>
      <c r="G46" s="10" t="s">
        <v>35</v>
      </c>
    </row>
    <row r="47" spans="1:7" x14ac:dyDescent="0.4">
      <c r="A47" s="9"/>
      <c r="B47" t="s">
        <v>202</v>
      </c>
      <c r="C47" s="9" t="s">
        <v>186</v>
      </c>
      <c r="D47" t="s">
        <v>187</v>
      </c>
      <c r="E47" s="69">
        <v>3</v>
      </c>
      <c r="G47" s="10" t="s">
        <v>35</v>
      </c>
    </row>
    <row r="48" spans="1:7" x14ac:dyDescent="0.4">
      <c r="A48" s="9"/>
      <c r="B48" t="s">
        <v>203</v>
      </c>
      <c r="C48" s="9" t="s">
        <v>186</v>
      </c>
      <c r="D48" t="s">
        <v>187</v>
      </c>
      <c r="E48" s="69">
        <v>3</v>
      </c>
      <c r="G48" s="10" t="s">
        <v>35</v>
      </c>
    </row>
    <row r="49" spans="1:7" x14ac:dyDescent="0.4">
      <c r="A49" s="9"/>
      <c r="C49" s="9" t="s">
        <v>186</v>
      </c>
      <c r="D49" t="s">
        <v>187</v>
      </c>
      <c r="G49" s="10"/>
    </row>
    <row r="50" spans="1:7" x14ac:dyDescent="0.4">
      <c r="A50" s="9"/>
      <c r="C50" s="9" t="s">
        <v>186</v>
      </c>
      <c r="D50" t="s">
        <v>187</v>
      </c>
      <c r="G50" s="10"/>
    </row>
    <row r="51" spans="1:7" ht="19.5" thickBot="1" x14ac:dyDescent="0.45">
      <c r="A51" s="11"/>
      <c r="B51" s="12"/>
      <c r="C51" s="11" t="s">
        <v>186</v>
      </c>
      <c r="D51" s="12" t="s">
        <v>187</v>
      </c>
      <c r="E51" s="12"/>
      <c r="F51" s="12"/>
      <c r="G51" s="13"/>
    </row>
    <row r="52" spans="1:7" x14ac:dyDescent="0.4">
      <c r="A52" s="9" t="s">
        <v>40</v>
      </c>
      <c r="B52" t="s">
        <v>1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F53">
        <v>2</v>
      </c>
      <c r="G53" s="10" t="s">
        <v>74</v>
      </c>
    </row>
    <row r="54" spans="1:7" x14ac:dyDescent="0.4">
      <c r="A54" s="9"/>
      <c r="B54" t="s">
        <v>48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49</v>
      </c>
      <c r="C55" s="9" t="s">
        <v>34</v>
      </c>
      <c r="D55" t="s">
        <v>33</v>
      </c>
      <c r="E55">
        <v>2</v>
      </c>
      <c r="G55" s="10" t="s">
        <v>35</v>
      </c>
    </row>
    <row r="56" spans="1:7" x14ac:dyDescent="0.4">
      <c r="A56" s="9"/>
      <c r="B56" t="s">
        <v>4</v>
      </c>
      <c r="C56" s="9" t="s">
        <v>34</v>
      </c>
      <c r="D56" t="s">
        <v>33</v>
      </c>
      <c r="E56">
        <v>2</v>
      </c>
      <c r="G56" s="10" t="s">
        <v>74</v>
      </c>
    </row>
    <row r="57" spans="1:7" ht="19.5" thickBot="1" x14ac:dyDescent="0.45">
      <c r="A57" s="11"/>
      <c r="B57" s="12" t="s">
        <v>3</v>
      </c>
      <c r="C57" s="11" t="s">
        <v>34</v>
      </c>
      <c r="D57" s="12" t="s">
        <v>33</v>
      </c>
      <c r="E57" s="12">
        <v>2</v>
      </c>
      <c r="F57" s="12"/>
      <c r="G57" s="13" t="s">
        <v>168</v>
      </c>
    </row>
    <row r="58" spans="1:7" x14ac:dyDescent="0.4">
      <c r="A58" s="9" t="s">
        <v>41</v>
      </c>
      <c r="B58" s="10" t="s">
        <v>41</v>
      </c>
      <c r="C58" t="s">
        <v>34</v>
      </c>
      <c r="D58" t="s">
        <v>66</v>
      </c>
      <c r="G58" s="10" t="s">
        <v>35</v>
      </c>
    </row>
    <row r="59" spans="1:7" ht="19.5" thickBot="1" x14ac:dyDescent="0.45">
      <c r="A59" s="11"/>
      <c r="B59" s="13" t="s">
        <v>71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72</v>
      </c>
      <c r="B60" s="8" t="s">
        <v>73</v>
      </c>
      <c r="C60" s="7" t="s">
        <v>34</v>
      </c>
      <c r="D60" s="7" t="s">
        <v>68</v>
      </c>
      <c r="E60" s="7"/>
      <c r="F60" s="7"/>
      <c r="G60" s="8" t="s">
        <v>35</v>
      </c>
    </row>
    <row r="61" spans="1:7" ht="19.5" thickBot="1" x14ac:dyDescent="0.45">
      <c r="A61" s="11"/>
      <c r="B61" s="13" t="s">
        <v>71</v>
      </c>
      <c r="C61" s="12" t="s">
        <v>34</v>
      </c>
      <c r="D61" s="12" t="s">
        <v>68</v>
      </c>
      <c r="E61" s="12"/>
      <c r="F61" s="12"/>
      <c r="G61" s="13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  <row r="109" spans="3:7" x14ac:dyDescent="0.4">
      <c r="C109" t="s">
        <v>34</v>
      </c>
      <c r="D109" t="s">
        <v>33</v>
      </c>
      <c r="G109" t="s">
        <v>35</v>
      </c>
    </row>
  </sheetData>
  <autoFilter ref="A3:G109" xr:uid="{3ABA19D7-703C-4BDA-ABBE-D42092489F0E}"/>
  <phoneticPr fontId="1"/>
  <dataValidations count="3">
    <dataValidation type="list" allowBlank="1" showInputMessage="1" showErrorMessage="1" sqref="G4:G35 G52:G109 G40:G48" xr:uid="{05F1DF74-5C3A-4656-9180-8CB2E572755F}">
      <formula1>"未着手,作業中,完了"</formula1>
    </dataValidation>
    <dataValidation type="list" allowBlank="1" showInputMessage="1" showErrorMessage="1" sqref="C4:C35 C52:C109" xr:uid="{02D66180-7540-49E9-8878-4AAA7C63EEA4}">
      <formula1>"C,B,A,S"</formula1>
    </dataValidation>
    <dataValidation type="list" allowBlank="1" showInputMessage="1" showErrorMessage="1" sqref="D4:D35 D52:D109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S36"/>
  <sheetViews>
    <sheetView topLeftCell="A3" workbookViewId="0">
      <selection activeCell="R18" sqref="R18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204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205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2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2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2:16" ht="19.5" thickBot="1" x14ac:dyDescent="0.45">
      <c r="B19" s="22" t="s">
        <v>61</v>
      </c>
      <c r="J19" s="22" t="s">
        <v>61</v>
      </c>
    </row>
    <row r="20" spans="2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2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2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2:16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2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2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2:16" ht="19.5" thickBot="1" x14ac:dyDescent="0.45">
      <c r="B26" s="24" t="s">
        <v>62</v>
      </c>
    </row>
    <row r="27" spans="2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2:16" x14ac:dyDescent="0.4">
      <c r="B28" s="31"/>
      <c r="C28" s="32"/>
      <c r="D28" s="32"/>
      <c r="E28" s="32"/>
      <c r="F28" s="32"/>
      <c r="G28" s="32"/>
      <c r="H28" s="33">
        <v>1</v>
      </c>
    </row>
    <row r="29" spans="2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16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L59"/>
  <sheetViews>
    <sheetView topLeftCell="A3" workbookViewId="0">
      <selection activeCell="M44" sqref="M44"/>
    </sheetView>
  </sheetViews>
  <sheetFormatPr defaultRowHeight="18.75" x14ac:dyDescent="0.4"/>
  <cols>
    <col min="1" max="1" width="9" customWidth="1"/>
  </cols>
  <sheetData>
    <row r="1" spans="2:12" ht="19.5" thickBot="1" x14ac:dyDescent="0.45"/>
    <row r="2" spans="2:12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193</v>
      </c>
    </row>
    <row r="3" spans="2:12" x14ac:dyDescent="0.4">
      <c r="B3" s="9"/>
      <c r="K3" s="10"/>
    </row>
    <row r="4" spans="2:12" x14ac:dyDescent="0.4">
      <c r="B4" s="9"/>
      <c r="G4" t="s">
        <v>194</v>
      </c>
      <c r="K4" s="10"/>
    </row>
    <row r="5" spans="2:12" x14ac:dyDescent="0.4">
      <c r="B5" s="9"/>
      <c r="C5" t="s">
        <v>195</v>
      </c>
      <c r="K5" s="10"/>
    </row>
    <row r="6" spans="2:12" x14ac:dyDescent="0.4">
      <c r="B6" s="9"/>
      <c r="K6" s="10"/>
    </row>
    <row r="7" spans="2:12" x14ac:dyDescent="0.4">
      <c r="B7" s="9"/>
      <c r="K7" s="10"/>
    </row>
    <row r="8" spans="2:12" x14ac:dyDescent="0.4">
      <c r="B8" s="9"/>
      <c r="K8" s="10"/>
    </row>
    <row r="9" spans="2:12" x14ac:dyDescent="0.4">
      <c r="B9" s="9"/>
      <c r="I9" t="s">
        <v>2</v>
      </c>
      <c r="K9" s="10"/>
    </row>
    <row r="10" spans="2:12" x14ac:dyDescent="0.4">
      <c r="B10" s="9"/>
      <c r="K10" s="10"/>
    </row>
    <row r="11" spans="2:12" x14ac:dyDescent="0.4">
      <c r="B11" s="9"/>
      <c r="K11" s="10"/>
    </row>
    <row r="12" spans="2:12" x14ac:dyDescent="0.4">
      <c r="B12" s="9"/>
      <c r="K12" s="10"/>
    </row>
    <row r="13" spans="2:12" x14ac:dyDescent="0.4">
      <c r="B13" s="9"/>
      <c r="K13" s="10"/>
    </row>
    <row r="14" spans="2:12" x14ac:dyDescent="0.4">
      <c r="B14" s="9"/>
      <c r="K14" s="10"/>
    </row>
    <row r="15" spans="2:12" x14ac:dyDescent="0.4">
      <c r="B15" s="9"/>
      <c r="K15" s="10"/>
    </row>
    <row r="16" spans="2:12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196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197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198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43" workbookViewId="0">
      <selection activeCell="C61" sqref="C61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58" spans="1:3" x14ac:dyDescent="0.4">
      <c r="C58" t="s">
        <v>175</v>
      </c>
    </row>
    <row r="60" spans="1:3" x14ac:dyDescent="0.4">
      <c r="B60" t="s">
        <v>206</v>
      </c>
    </row>
    <row r="61" spans="1:3" x14ac:dyDescent="0.4">
      <c r="B61" t="s">
        <v>208</v>
      </c>
    </row>
    <row r="62" spans="1:3" x14ac:dyDescent="0.4">
      <c r="B62" t="s">
        <v>207</v>
      </c>
    </row>
    <row r="63" spans="1:3" x14ac:dyDescent="0.4">
      <c r="B63" t="s">
        <v>209</v>
      </c>
    </row>
    <row r="64" spans="1:3" x14ac:dyDescent="0.4">
      <c r="B64" t="s">
        <v>210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2026-06-26T15:20:53Z</dcterms:modified>
</cp:coreProperties>
</file>