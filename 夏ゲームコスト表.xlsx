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1AFCC818-DFF3-40BC-BEAB-904701DCCC2A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J8" i="1"/>
  <c r="J7" i="1"/>
  <c r="J6" i="1"/>
  <c r="J5" i="1"/>
  <c r="J4" i="1"/>
  <c r="L4" i="1" l="1"/>
</calcChain>
</file>

<file path=xl/sharedStrings.xml><?xml version="1.0" encoding="utf-8"?>
<sst xmlns="http://schemas.openxmlformats.org/spreadsheetml/2006/main" count="632" uniqueCount="216">
  <si>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</si>
  <si>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</si>
  <si>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</si>
  <si>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</si>
  <si>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</si>
  <si>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</si>
  <si>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</si>
  <si>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</si>
  <si>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</si>
  <si>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</si>
  <si>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</si>
  <si>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</si>
  <si>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</si>
  <si>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</si>
  <si>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</si>
  <si>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</si>
  <si>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</si>
  <si>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</si>
  <si>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</si>
  <si>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</si>
  <si>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</si>
  <si>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</si>
  <si>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</si>
  <si>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</si>
  <si>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</si>
  <si>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</si>
  <si>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</si>
  <si>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</si>
  <si>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</si>
  <si>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</si>
  <si>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</si>
  <si>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</si>
  <si>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</si>
  <si>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</si>
  <si>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</si>
  <si>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</si>
  <si>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</si>
  <si>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</si>
  <si>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</si>
  <si>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</si>
  <si>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</si>
  <si>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</si>
  <si>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</si>
  <si>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</si>
  <si>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</si>
  <si>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</si>
  <si>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</si>
  <si>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</si>
  <si>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</si>
  <si>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</si>
  <si>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</si>
  <si>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</si>
  <si>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</si>
  <si>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</si>
  <si>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</si>
  <si>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</si>
  <si>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</si>
  <si>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</si>
  <si>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</si>
  <si>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</si>
  <si>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</si>
  <si>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</si>
  <si>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</si>
  <si>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</si>
  <si>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</si>
  <si>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</si>
  <si>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</si>
  <si>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</si>
  <si>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</si>
  <si>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</si>
  <si>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</si>
  <si>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</si>
  <si>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</si>
  <si>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</si>
  <si>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</si>
  <si>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</si>
  <si>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</si>
  <si>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</si>
  <si>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</si>
  <si>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</si>
  <si>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</si>
  <si>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</si>
  <si>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</si>
  <si>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</si>
  <si>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</si>
  <si>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</si>
  <si>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</si>
  <si>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</si>
  <si>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</si>
  <si>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</si>
  <si>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</si>
  <si>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</si>
  <si>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</si>
  <si>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</si>
  <si>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</si>
  <si>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</si>
  <si>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</si>
  <si>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</si>
  <si>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</si>
  <si>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</si>
  <si>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</si>
  <si>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</si>
  <si>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</si>
  <si>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</si>
  <si>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</si>
  <si>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</si>
  <si>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</si>
  <si>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</si>
  <si>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</si>
  <si>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</si>
  <si>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</si>
  <si>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</si>
  <si>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</si>
  <si>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</si>
  <si>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</si>
  <si>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</si>
  <si>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</si>
  <si>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</si>
  <si>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</si>
  <si>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</si>
  <si>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</si>
  <si>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</si>
  <si>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</si>
  <si>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</si>
  <si>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</si>
  <si>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</si>
  <si>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</si>
  <si>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</si>
  <si>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</si>
  <si>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</si>
  <si>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</si>
  <si>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</si>
  <si>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</si>
  <si>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</si>
  <si>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</si>
  <si>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</si>
  <si>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</si>
  <si>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</si>
  <si>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</si>
  <si>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</si>
  <si>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</si>
  <si>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</si>
  <si>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</si>
  <si>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</si>
  <si>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</si>
  <si>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</si>
  <si>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</si>
  <si>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</si>
  <si>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</si>
  <si>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</si>
  <si>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</si>
  <si>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</si>
  <si>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</si>
  <si>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</si>
  <si>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</si>
  <si>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</si>
  <si>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</si>
  <si>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</si>
  <si>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</si>
  <si>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</si>
  <si>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</si>
  <si>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</si>
  <si>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</si>
  <si>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</si>
  <si>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</si>
  <si>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</si>
  <si>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</si>
  <si>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</si>
  <si>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</si>
  <si>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</si>
  <si>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</si>
  <si>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</si>
  <si>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</si>
  <si>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</si>
  <si>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</si>
  <si>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</si>
  <si>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</si>
  <si>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</si>
  <si>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</si>
  <si>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シーン</t>
    <phoneticPr fontId="1"/>
  </si>
  <si>
    <t>タイトル</t>
    <phoneticPr fontId="1"/>
  </si>
  <si>
    <t>マネージャー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</si>
  <si>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</si>
  <si>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</si>
  <si>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</si>
  <si>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</si>
  <si>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</si>
  <si>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</si>
  <si>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</si>
  <si>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</si>
  <si>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</si>
  <si>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</si>
  <si>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</si>
  <si>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</si>
  <si>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</si>
  <si>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</si>
  <si>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</si>
  <si>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</si>
  <si>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</si>
  <si>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</si>
  <si>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</si>
  <si>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</si>
  <si>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</si>
  <si>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</si>
  <si>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</si>
  <si>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</si>
  <si>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</si>
  <si>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</si>
  <si>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</si>
  <si>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オルカ</t>
    <phoneticPr fontId="1"/>
  </si>
  <si>
    <t>サイコネ？</t>
    <phoneticPr fontId="1"/>
  </si>
  <si>
    <t>操作ガイドUIイメージ</t>
    <rPh sb="0" eb="2">
      <t>ソウサ</t>
    </rPh>
    <phoneticPr fontId="1"/>
  </si>
  <si>
    <t>スキル名</t>
    <rPh sb="3" eb="4">
      <t>メイ</t>
    </rPh>
    <phoneticPr fontId="1"/>
  </si>
  <si>
    <t>パッシブ名</t>
    <rPh sb="4" eb="5">
      <t>メイ</t>
    </rPh>
    <phoneticPr fontId="1"/>
  </si>
  <si>
    <t>クリア</t>
    <phoneticPr fontId="1"/>
  </si>
  <si>
    <t>ゲームオーバー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</si>
</sst>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  <xdr:twoCellAnchor>
    <xdr:from>
      <xdr:col>16</xdr:col>
      <xdr:colOff>57150</xdr:colOff>
      <xdr:row>2</xdr:row>
      <xdr:rowOff>219075</xdr:rowOff>
    </xdr:from>
    <xdr:to>
      <xdr:col>17</xdr:col>
      <xdr:colOff>180975</xdr:colOff>
      <xdr:row>6</xdr:row>
      <xdr:rowOff>76200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6885376B-519E-DB19-92F8-DE2E01850B91}"/>
            </a:ext>
          </a:extLst>
        </xdr:cNvPr>
        <xdr:cNvSpPr/>
      </xdr:nvSpPr>
      <xdr:spPr>
        <a:xfrm>
          <a:off x="11029950" y="704850"/>
          <a:ext cx="809625" cy="8096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523875</xdr:colOff>
      <xdr:row>6</xdr:row>
      <xdr:rowOff>200025</xdr:rowOff>
    </xdr:from>
    <xdr:to>
      <xdr:col>15</xdr:col>
      <xdr:colOff>647700</xdr:colOff>
      <xdr:row>10</xdr:row>
      <xdr:rowOff>57150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3EC0DFEE-C4FA-4AF2-A091-734BA3C69B49}"/>
            </a:ext>
          </a:extLst>
        </xdr:cNvPr>
        <xdr:cNvSpPr/>
      </xdr:nvSpPr>
      <xdr:spPr>
        <a:xfrm>
          <a:off x="10125075" y="1638300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104775</xdr:colOff>
      <xdr:row>10</xdr:row>
      <xdr:rowOff>171450</xdr:rowOff>
    </xdr:from>
    <xdr:to>
      <xdr:col>17</xdr:col>
      <xdr:colOff>228600</xdr:colOff>
      <xdr:row>14</xdr:row>
      <xdr:rowOff>28575</xdr:rowOff>
    </xdr:to>
    <xdr:sp macro="" textlink="">
      <xdr:nvSpPr>
        <xdr:cNvPr id="14" name="楕円 13">
          <a:extLst>
            <a:ext uri="{FF2B5EF4-FFF2-40B4-BE49-F238E27FC236}">
              <a16:creationId xmlns:a16="http://schemas.microsoft.com/office/drawing/2014/main" id="{1070556F-EFA7-4967-B18B-1B041CCAE84F}"/>
            </a:ext>
          </a:extLst>
        </xdr:cNvPr>
        <xdr:cNvSpPr/>
      </xdr:nvSpPr>
      <xdr:spPr>
        <a:xfrm>
          <a:off x="11077575" y="2562225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400052</xdr:colOff>
      <xdr:row>7</xdr:row>
      <xdr:rowOff>0</xdr:rowOff>
    </xdr:from>
    <xdr:to>
      <xdr:col>18</xdr:col>
      <xdr:colOff>438152</xdr:colOff>
      <xdr:row>9</xdr:row>
      <xdr:rowOff>219075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8F46A1E-C3DA-4F9F-87C9-5DA4E2136209}"/>
            </a:ext>
          </a:extLst>
        </xdr:cNvPr>
        <xdr:cNvSpPr/>
      </xdr:nvSpPr>
      <xdr:spPr>
        <a:xfrm rot="2513663">
          <a:off x="12058652" y="1676400"/>
          <a:ext cx="723900" cy="6953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sheetPr filterMode="1"/>
  <dimension ref="A1:L110"/>
  <sheetViews>
    <sheetView tabSelected="1" workbookViewId="0">
      <selection activeCell="I49" sqref="I49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hidden="1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SUM(E4:E108)</f>
        <v>164</v>
      </c>
      <c r="K4">
        <f>SUMIFS(E4:E102,G4:G102,"未着手") +SUMIFS(E4:E102,G4:G102,"作業中")</f>
        <v>50</v>
      </c>
      <c r="L4">
        <f xml:space="preserve"> K4 / J4</f>
        <v>0.3048780487804878</v>
      </c>
    </row>
    <row r="5" spans="1:12" hidden="1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SUMIFS(E4:E108,D4:D108,"プロト")</f>
        <v>164</v>
      </c>
    </row>
    <row r="6" spans="1:12" hidden="1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SUMIFS(E4:E108,D4:D108,"アルファ")</f>
        <v>0</v>
      </c>
    </row>
    <row r="7" spans="1:12" hidden="1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74</v>
      </c>
      <c r="I7" t="s">
        <v>80</v>
      </c>
      <c r="J7">
        <f>SUMIFS(E4:E108,D4:D108,"ベータ")</f>
        <v>0</v>
      </c>
    </row>
    <row r="8" spans="1:12" ht="19.5" hidden="1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SUMIFS(E4:E108,D4:D108,"マスター")</f>
        <v>0</v>
      </c>
    </row>
    <row r="9" spans="1:12" hidden="1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hidden="1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hidden="1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hidden="1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hidden="1" x14ac:dyDescent="0.4">
      <c r="A13" s="9"/>
      <c r="B13" s="10" t="s">
        <v>175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ht="19.5" thickBot="1" x14ac:dyDescent="0.45">
      <c r="A14" s="9"/>
      <c r="B14" s="10" t="s">
        <v>176</v>
      </c>
      <c r="C14" t="s">
        <v>34</v>
      </c>
      <c r="D14" t="s">
        <v>33</v>
      </c>
      <c r="E14">
        <v>3</v>
      </c>
      <c r="G14" s="10" t="s">
        <v>35</v>
      </c>
    </row>
    <row r="15" spans="1:12" ht="19.5" hidden="1" thickBot="1" x14ac:dyDescent="0.45">
      <c r="A15" s="9"/>
      <c r="B15" s="10" t="s">
        <v>177</v>
      </c>
      <c r="C15" t="s">
        <v>34</v>
      </c>
      <c r="D15" t="s">
        <v>33</v>
      </c>
      <c r="E15">
        <v>3</v>
      </c>
      <c r="G15" s="10" t="s">
        <v>74</v>
      </c>
    </row>
    <row r="16" spans="1:12" ht="19.5" hidden="1" thickBot="1" x14ac:dyDescent="0.45">
      <c r="A16" s="9"/>
      <c r="B16" s="10" t="s">
        <v>178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ht="19.5" hidden="1" thickBot="1" x14ac:dyDescent="0.45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ht="19.5" hidden="1" thickBot="1" x14ac:dyDescent="0.45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hidden="1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>
        <v>4</v>
      </c>
      <c r="G19" s="13" t="s">
        <v>74</v>
      </c>
    </row>
    <row r="20" spans="1:7" ht="19.5" hidden="1" thickBot="1" x14ac:dyDescent="0.45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ht="19.5" hidden="1" thickBot="1" x14ac:dyDescent="0.45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hidden="1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ht="19.5" hidden="1" thickBot="1" x14ac:dyDescent="0.45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>
        <v>4</v>
      </c>
      <c r="G23" s="8" t="s">
        <v>74</v>
      </c>
    </row>
    <row r="24" spans="1:7" ht="19.5" hidden="1" thickBot="1" x14ac:dyDescent="0.45">
      <c r="A24" s="9"/>
      <c r="B24" s="10" t="s">
        <v>7</v>
      </c>
      <c r="C24" t="s">
        <v>34</v>
      </c>
      <c r="D24" t="s">
        <v>33</v>
      </c>
      <c r="E24">
        <v>2</v>
      </c>
      <c r="F24">
        <v>2</v>
      </c>
      <c r="G24" s="10" t="s">
        <v>74</v>
      </c>
    </row>
    <row r="25" spans="1:7" ht="19.5" hidden="1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>
        <v>2</v>
      </c>
      <c r="G25" s="13" t="s">
        <v>74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ht="19.5" hidden="1" thickBot="1" x14ac:dyDescent="0.45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74</v>
      </c>
    </row>
    <row r="30" spans="1:7" ht="19.5" hidden="1" thickBot="1" x14ac:dyDescent="0.45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74</v>
      </c>
    </row>
    <row r="31" spans="1:7" ht="19.5" hidden="1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74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hidden="1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x14ac:dyDescent="0.4">
      <c r="A35" s="9"/>
      <c r="B35" s="10" t="s">
        <v>208</v>
      </c>
      <c r="C35" t="s">
        <v>34</v>
      </c>
      <c r="D35" t="s">
        <v>33</v>
      </c>
      <c r="E35">
        <v>6</v>
      </c>
      <c r="G35" s="10" t="s">
        <v>168</v>
      </c>
    </row>
    <row r="36" spans="1:7" hidden="1" x14ac:dyDescent="0.4">
      <c r="A36" s="6" t="s">
        <v>179</v>
      </c>
      <c r="B36" s="8" t="s">
        <v>181</v>
      </c>
      <c r="C36" s="7" t="s">
        <v>183</v>
      </c>
      <c r="D36" s="7" t="s">
        <v>184</v>
      </c>
      <c r="E36" s="7">
        <v>3</v>
      </c>
      <c r="F36" s="7"/>
      <c r="G36" s="10" t="s">
        <v>74</v>
      </c>
    </row>
    <row r="37" spans="1:7" hidden="1" x14ac:dyDescent="0.4">
      <c r="A37" s="9"/>
      <c r="B37" s="10" t="s">
        <v>180</v>
      </c>
      <c r="C37" t="s">
        <v>183</v>
      </c>
      <c r="D37" t="s">
        <v>184</v>
      </c>
      <c r="E37">
        <v>2</v>
      </c>
      <c r="G37" s="10" t="s">
        <v>74</v>
      </c>
    </row>
    <row r="38" spans="1:7" hidden="1" x14ac:dyDescent="0.4">
      <c r="A38" s="9"/>
      <c r="B38" s="10" t="s">
        <v>214</v>
      </c>
      <c r="C38" t="s">
        <v>183</v>
      </c>
      <c r="D38" t="s">
        <v>184</v>
      </c>
      <c r="E38">
        <v>2</v>
      </c>
      <c r="G38" s="10" t="s">
        <v>74</v>
      </c>
    </row>
    <row r="39" spans="1:7" hidden="1" x14ac:dyDescent="0.4">
      <c r="A39" s="9"/>
      <c r="B39" s="10" t="s">
        <v>215</v>
      </c>
      <c r="C39" t="s">
        <v>102</v>
      </c>
      <c r="D39" t="s">
        <v>64</v>
      </c>
      <c r="E39">
        <v>2</v>
      </c>
      <c r="G39" s="10" t="s">
        <v>74</v>
      </c>
    </row>
    <row r="40" spans="1:7" hidden="1" x14ac:dyDescent="0.4">
      <c r="A40" s="9"/>
      <c r="B40" s="10" t="s">
        <v>182</v>
      </c>
      <c r="C40" t="s">
        <v>183</v>
      </c>
      <c r="D40" t="s">
        <v>184</v>
      </c>
      <c r="E40">
        <v>3</v>
      </c>
      <c r="G40" s="10" t="s">
        <v>74</v>
      </c>
    </row>
    <row r="41" spans="1:7" hidden="1" x14ac:dyDescent="0.4">
      <c r="A41" s="6" t="s">
        <v>185</v>
      </c>
      <c r="B41" s="7" t="s">
        <v>186</v>
      </c>
      <c r="C41" s="6" t="s">
        <v>183</v>
      </c>
      <c r="D41" s="7" t="s">
        <v>184</v>
      </c>
      <c r="E41" s="7">
        <v>3</v>
      </c>
      <c r="F41" s="7"/>
      <c r="G41" s="10" t="s">
        <v>74</v>
      </c>
    </row>
    <row r="42" spans="1:7" hidden="1" x14ac:dyDescent="0.4">
      <c r="A42" s="9"/>
      <c r="B42" t="s">
        <v>187</v>
      </c>
      <c r="C42" s="9" t="s">
        <v>183</v>
      </c>
      <c r="D42" t="s">
        <v>184</v>
      </c>
      <c r="E42">
        <v>3</v>
      </c>
      <c r="G42" s="10" t="s">
        <v>74</v>
      </c>
    </row>
    <row r="43" spans="1:7" hidden="1" x14ac:dyDescent="0.4">
      <c r="A43" s="9"/>
      <c r="B43" t="s">
        <v>188</v>
      </c>
      <c r="C43" s="9" t="s">
        <v>183</v>
      </c>
      <c r="D43" t="s">
        <v>184</v>
      </c>
      <c r="E43">
        <v>4</v>
      </c>
      <c r="G43" s="10" t="s">
        <v>74</v>
      </c>
    </row>
    <row r="44" spans="1:7" hidden="1" x14ac:dyDescent="0.4">
      <c r="A44" s="9"/>
      <c r="B44" t="s">
        <v>189</v>
      </c>
      <c r="C44" s="9" t="s">
        <v>183</v>
      </c>
      <c r="D44" t="s">
        <v>184</v>
      </c>
      <c r="E44">
        <v>4</v>
      </c>
      <c r="G44" s="10" t="s">
        <v>74</v>
      </c>
    </row>
    <row r="45" spans="1:7" hidden="1" x14ac:dyDescent="0.4">
      <c r="A45" s="9"/>
      <c r="B45" t="s">
        <v>196</v>
      </c>
      <c r="C45" s="9" t="s">
        <v>183</v>
      </c>
      <c r="D45" t="s">
        <v>184</v>
      </c>
      <c r="E45">
        <v>2</v>
      </c>
      <c r="G45" s="10" t="s">
        <v>74</v>
      </c>
    </row>
    <row r="46" spans="1:7" x14ac:dyDescent="0.4">
      <c r="A46" s="9"/>
      <c r="B46" t="s">
        <v>197</v>
      </c>
      <c r="C46" s="9" t="s">
        <v>183</v>
      </c>
      <c r="D46" t="s">
        <v>184</v>
      </c>
      <c r="E46">
        <v>3</v>
      </c>
      <c r="G46" s="10" t="s">
        <v>35</v>
      </c>
    </row>
    <row r="47" spans="1:7" x14ac:dyDescent="0.4">
      <c r="A47" s="9"/>
      <c r="B47" t="s">
        <v>198</v>
      </c>
      <c r="C47" s="9" t="s">
        <v>183</v>
      </c>
      <c r="D47" t="s">
        <v>184</v>
      </c>
      <c r="E47">
        <v>3</v>
      </c>
      <c r="G47" s="10" t="s">
        <v>35</v>
      </c>
    </row>
    <row r="48" spans="1:7" hidden="1" x14ac:dyDescent="0.4">
      <c r="A48" s="9"/>
      <c r="B48" t="s">
        <v>199</v>
      </c>
      <c r="C48" s="9" t="s">
        <v>183</v>
      </c>
      <c r="D48" t="s">
        <v>184</v>
      </c>
      <c r="E48">
        <v>3</v>
      </c>
      <c r="G48" s="10" t="s">
        <v>74</v>
      </c>
    </row>
    <row r="49" spans="1:7" x14ac:dyDescent="0.4">
      <c r="A49" s="9"/>
      <c r="B49" t="s">
        <v>200</v>
      </c>
      <c r="C49" s="9" t="s">
        <v>183</v>
      </c>
      <c r="D49" t="s">
        <v>184</v>
      </c>
      <c r="E49">
        <v>3</v>
      </c>
      <c r="G49" s="10" t="s">
        <v>35</v>
      </c>
    </row>
    <row r="50" spans="1:7" x14ac:dyDescent="0.4">
      <c r="A50" s="9"/>
      <c r="C50" s="9" t="s">
        <v>183</v>
      </c>
      <c r="D50" t="s">
        <v>184</v>
      </c>
      <c r="G50" s="10"/>
    </row>
    <row r="51" spans="1:7" x14ac:dyDescent="0.4">
      <c r="A51" s="9"/>
      <c r="C51" s="9" t="s">
        <v>183</v>
      </c>
      <c r="D51" t="s">
        <v>184</v>
      </c>
      <c r="G51" s="10"/>
    </row>
    <row r="52" spans="1:7" ht="19.5" thickBot="1" x14ac:dyDescent="0.45">
      <c r="A52" s="11"/>
      <c r="B52" s="12"/>
      <c r="C52" s="11" t="s">
        <v>183</v>
      </c>
      <c r="D52" s="12" t="s">
        <v>184</v>
      </c>
      <c r="E52" s="12"/>
      <c r="F52" s="12"/>
      <c r="G52" s="13"/>
    </row>
    <row r="53" spans="1:7" hidden="1" x14ac:dyDescent="0.4">
      <c r="A53" s="9" t="s">
        <v>40</v>
      </c>
      <c r="B53" t="s">
        <v>1</v>
      </c>
      <c r="C53" s="9" t="s">
        <v>34</v>
      </c>
      <c r="D53" t="s">
        <v>33</v>
      </c>
      <c r="E53">
        <v>2</v>
      </c>
      <c r="F53">
        <v>2</v>
      </c>
      <c r="G53" s="10" t="s">
        <v>74</v>
      </c>
    </row>
    <row r="54" spans="1:7" hidden="1" x14ac:dyDescent="0.4">
      <c r="A54" s="9"/>
      <c r="B54" t="s">
        <v>47</v>
      </c>
      <c r="C54" s="9" t="s">
        <v>34</v>
      </c>
      <c r="D54" t="s">
        <v>33</v>
      </c>
      <c r="E54">
        <v>2</v>
      </c>
      <c r="F54">
        <v>2</v>
      </c>
      <c r="G54" s="10" t="s">
        <v>74</v>
      </c>
    </row>
    <row r="55" spans="1:7" hidden="1" x14ac:dyDescent="0.4">
      <c r="A55" s="9"/>
      <c r="B55" t="s">
        <v>48</v>
      </c>
      <c r="C55" s="9" t="s">
        <v>34</v>
      </c>
      <c r="D55" t="s">
        <v>33</v>
      </c>
      <c r="E55">
        <v>2</v>
      </c>
      <c r="G55" s="10" t="s">
        <v>74</v>
      </c>
    </row>
    <row r="56" spans="1:7" x14ac:dyDescent="0.4">
      <c r="A56" s="9"/>
      <c r="B56" t="s">
        <v>49</v>
      </c>
      <c r="C56" s="9" t="s">
        <v>34</v>
      </c>
      <c r="D56" t="s">
        <v>33</v>
      </c>
      <c r="E56">
        <v>2</v>
      </c>
      <c r="G56" s="10" t="s">
        <v>35</v>
      </c>
    </row>
    <row r="57" spans="1:7" hidden="1" x14ac:dyDescent="0.4">
      <c r="A57" s="9"/>
      <c r="B57" t="s">
        <v>4</v>
      </c>
      <c r="C57" s="9" t="s">
        <v>34</v>
      </c>
      <c r="D57" t="s">
        <v>33</v>
      </c>
      <c r="E57">
        <v>2</v>
      </c>
      <c r="G57" s="10" t="s">
        <v>74</v>
      </c>
    </row>
    <row r="58" spans="1:7" ht="19.5" thickBot="1" x14ac:dyDescent="0.45">
      <c r="A58" s="11"/>
      <c r="B58" s="12" t="s">
        <v>3</v>
      </c>
      <c r="C58" s="11" t="s">
        <v>34</v>
      </c>
      <c r="D58" s="12" t="s">
        <v>33</v>
      </c>
      <c r="E58" s="12">
        <v>2</v>
      </c>
      <c r="F58" s="12"/>
      <c r="G58" s="13" t="s">
        <v>168</v>
      </c>
    </row>
    <row r="59" spans="1:7" x14ac:dyDescent="0.4">
      <c r="A59" s="9" t="s">
        <v>41</v>
      </c>
      <c r="B59" s="10" t="s">
        <v>41</v>
      </c>
      <c r="C59" t="s">
        <v>34</v>
      </c>
      <c r="D59" t="s">
        <v>66</v>
      </c>
      <c r="G59" s="10" t="s">
        <v>35</v>
      </c>
    </row>
    <row r="60" spans="1:7" ht="19.5" thickBot="1" x14ac:dyDescent="0.45">
      <c r="A60" s="11"/>
      <c r="B60" s="13" t="s">
        <v>71</v>
      </c>
      <c r="C60" s="12" t="s">
        <v>34</v>
      </c>
      <c r="D60" s="12" t="s">
        <v>66</v>
      </c>
      <c r="E60" s="12"/>
      <c r="F60" s="12"/>
      <c r="G60" s="13" t="s">
        <v>35</v>
      </c>
    </row>
    <row r="61" spans="1:7" x14ac:dyDescent="0.4">
      <c r="A61" s="6" t="s">
        <v>72</v>
      </c>
      <c r="B61" s="8" t="s">
        <v>73</v>
      </c>
      <c r="C61" s="7" t="s">
        <v>34</v>
      </c>
      <c r="D61" s="7" t="s">
        <v>68</v>
      </c>
      <c r="E61" s="7"/>
      <c r="F61" s="7"/>
      <c r="G61" s="8" t="s">
        <v>35</v>
      </c>
    </row>
    <row r="62" spans="1:7" ht="19.5" thickBot="1" x14ac:dyDescent="0.45">
      <c r="A62" s="11"/>
      <c r="B62" s="13" t="s">
        <v>71</v>
      </c>
      <c r="C62" s="12" t="s">
        <v>34</v>
      </c>
      <c r="D62" s="12" t="s">
        <v>68</v>
      </c>
      <c r="E62" s="12"/>
      <c r="F62" s="12"/>
      <c r="G62" s="13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  <row r="109" spans="3:7" x14ac:dyDescent="0.4">
      <c r="C109" t="s">
        <v>34</v>
      </c>
      <c r="D109" t="s">
        <v>33</v>
      </c>
      <c r="G109" t="s">
        <v>35</v>
      </c>
    </row>
    <row r="110" spans="3:7" x14ac:dyDescent="0.4">
      <c r="C110" t="s">
        <v>34</v>
      </c>
      <c r="D110" t="s">
        <v>33</v>
      </c>
      <c r="G110" t="s">
        <v>35</v>
      </c>
    </row>
  </sheetData>
  <autoFilter ref="A3:G110" xr:uid="{3ABA19D7-703C-4BDA-ABBE-D42092489F0E}">
    <filterColumn colId="6">
      <filters blank="1">
        <filter val="作業中"/>
        <filter val="未着手"/>
      </filters>
    </filterColumn>
  </autoFilter>
  <phoneticPr fontId="1"/>
  <dataValidations count="3">
    <dataValidation type="list" allowBlank="1" showInputMessage="1" showErrorMessage="1" sqref="G53:G110 G4:G49" xr:uid="{05F1DF74-5C3A-4656-9180-8CB2E572755F}">
      <formula1>"未着手,作業中,完了"</formula1>
    </dataValidation>
    <dataValidation type="list" allowBlank="1" showInputMessage="1" showErrorMessage="1" sqref="C4:C35 C53:C110" xr:uid="{02D66180-7540-49E9-8878-4AAA7C63EEA4}">
      <formula1>"C,B,A,S"</formula1>
    </dataValidation>
    <dataValidation type="list" allowBlank="1" showInputMessage="1" showErrorMessage="1" sqref="D4:D35 D53:D110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201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202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61</v>
      </c>
      <c r="J19" s="22" t="s">
        <v>61</v>
      </c>
    </row>
    <row r="20" spans="1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209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62</v>
      </c>
    </row>
    <row r="27" spans="1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210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T59"/>
  <sheetViews>
    <sheetView workbookViewId="0">
      <selection activeCell="W14" sqref="W14"/>
    </sheetView>
  </sheetViews>
  <sheetFormatPr defaultRowHeight="18.75" x14ac:dyDescent="0.4"/>
  <cols>
    <col min="1" max="1" width="9" customWidth="1"/>
  </cols>
  <sheetData>
    <row r="1" spans="2:20" ht="19.5" thickBot="1" x14ac:dyDescent="0.45"/>
    <row r="2" spans="2:20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190</v>
      </c>
      <c r="O2" t="s">
        <v>211</v>
      </c>
    </row>
    <row r="3" spans="2:20" x14ac:dyDescent="0.4">
      <c r="B3" s="9"/>
      <c r="K3" s="10"/>
    </row>
    <row r="4" spans="2:20" x14ac:dyDescent="0.4">
      <c r="B4" s="9"/>
      <c r="G4" t="s">
        <v>191</v>
      </c>
      <c r="K4" s="10"/>
    </row>
    <row r="5" spans="2:20" x14ac:dyDescent="0.4">
      <c r="B5" s="9"/>
      <c r="C5" t="s">
        <v>192</v>
      </c>
      <c r="K5" s="10"/>
      <c r="P5" t="s">
        <v>212</v>
      </c>
    </row>
    <row r="6" spans="2:20" x14ac:dyDescent="0.4">
      <c r="B6" s="9"/>
      <c r="K6" s="10"/>
    </row>
    <row r="7" spans="2:20" x14ac:dyDescent="0.4">
      <c r="B7" s="9"/>
      <c r="K7" s="10"/>
    </row>
    <row r="8" spans="2:20" x14ac:dyDescent="0.4">
      <c r="B8" s="9"/>
      <c r="K8" s="10"/>
    </row>
    <row r="9" spans="2:20" x14ac:dyDescent="0.4">
      <c r="B9" s="9"/>
      <c r="I9" t="s">
        <v>2</v>
      </c>
      <c r="K9" s="10"/>
      <c r="O9" t="s">
        <v>43</v>
      </c>
      <c r="T9" t="s">
        <v>213</v>
      </c>
    </row>
    <row r="10" spans="2:20" x14ac:dyDescent="0.4">
      <c r="B10" s="9"/>
      <c r="K10" s="10"/>
    </row>
    <row r="11" spans="2:20" x14ac:dyDescent="0.4">
      <c r="B11" s="9"/>
      <c r="K11" s="10"/>
    </row>
    <row r="12" spans="2:20" x14ac:dyDescent="0.4">
      <c r="B12" s="9"/>
      <c r="K12" s="10"/>
    </row>
    <row r="13" spans="2:20" x14ac:dyDescent="0.4">
      <c r="B13" s="9"/>
      <c r="K13" s="10"/>
      <c r="S13" t="s">
        <v>8</v>
      </c>
    </row>
    <row r="14" spans="2:20" x14ac:dyDescent="0.4">
      <c r="B14" s="9"/>
      <c r="K14" s="10"/>
    </row>
    <row r="15" spans="2:20" x14ac:dyDescent="0.4">
      <c r="B15" s="9"/>
      <c r="K15" s="10"/>
    </row>
    <row r="16" spans="2:20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193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194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195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60" spans="1:3" x14ac:dyDescent="0.4">
      <c r="B60" t="s">
        <v>203</v>
      </c>
    </row>
    <row r="61" spans="1:3" x14ac:dyDescent="0.4">
      <c r="B61" t="s">
        <v>205</v>
      </c>
    </row>
    <row r="62" spans="1:3" x14ac:dyDescent="0.4">
      <c r="B62" t="s">
        <v>204</v>
      </c>
    </row>
    <row r="63" spans="1:3" x14ac:dyDescent="0.4">
      <c r="B63" t="s">
        <v>206</v>
      </c>
    </row>
    <row r="64" spans="1:3" x14ac:dyDescent="0.4">
      <c r="B64" t="s">
        <v>207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2026-07-06T01:13:03Z</dcterms:modified>
</cp:coreProperties>
</file>