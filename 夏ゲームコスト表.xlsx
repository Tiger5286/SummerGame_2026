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GitHub\SummerGame_2026\"/>
    </mc:Choice>
  </mc:AlternateContent>
  <xr:revisionPtr revIDLastSave="0" documentId="13_ncr:1_{3C73F830-1DB9-4FCA-8A44-D3EAFAB4C968}" xr6:coauthVersionLast="47" xr6:coauthVersionMax="47" xr10:uidLastSave="{00000000-0000-0000-0000-000000000000}"/>
  <bookViews>
    <workbookView xWindow="-28920" yWindow="0" windowWidth="29040" windowHeight="15720" activeTab="8" xr2:uid="{81B07F0C-6B3F-4216-A9DE-E30603DB1347}"/>
  </bookViews>
  <sheets>
    <sheet name="コスト表" sheetId="1" r:id="rId1"/>
    <sheet name="やることとか書き出し" sheetId="8" r:id="rId2"/>
    <sheet name="カレンダー" sheetId="4" r:id="rId3"/>
    <sheet name="クラス一覧" sheetId="2" r:id="rId4"/>
    <sheet name="クラス図" sheetId="3" r:id="rId5"/>
    <sheet name="プレイヤー設計" sheetId="6" r:id="rId6"/>
    <sheet name="ゲーム画面イメージ" sheetId="7" r:id="rId7"/>
    <sheet name="memo" sheetId="5" r:id="rId8"/>
    <sheet name="Sheet1" sheetId="9" r:id="rId9"/>
  </sheets>
  <definedNames>
    <definedName name="_xlnm._FilterDatabase" localSheetId="0" hidden="1">コスト表!$A$3:$G$107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7" i="1" l="1"/>
  <c r="L7" i="1" s="1"/>
  <c r="K6" i="1"/>
  <c r="L6" i="1" s="1"/>
  <c r="L8" i="1"/>
  <c r="K5" i="1"/>
  <c r="L5" i="1" s="1"/>
  <c r="K4" i="1"/>
  <c r="L4" i="1" s="1"/>
  <c r="J8" i="1"/>
  <c r="J7" i="1"/>
  <c r="J6" i="1"/>
  <c r="J5" i="1"/>
  <c r="J4" i="1"/>
</calcChain>
</file>

<file path=xl/sharedStrings.xml><?xml version="1.0" encoding="utf-8"?>
<sst xmlns="http://schemas.openxmlformats.org/spreadsheetml/2006/main" count="691" uniqueCount="282">
  <si>
    <t>夏ゲームコスト表</t>
    <rPh sb="0" eb="1">
      <t>ナツ</t>
    </rPh>
    <rPh sb="7" eb="8">
      <t>ヒョウ</t>
    </rPh>
    <phoneticPr fontId="1"/>
  </si>
  <si>
    <t>プレイヤー</t>
    <phoneticPr fontId="1"/>
  </si>
  <si>
    <t>敵</t>
    <rPh sb="0" eb="1">
      <t>テキ</t>
    </rPh>
    <phoneticPr fontId="1"/>
  </si>
  <si>
    <t>マップ</t>
    <phoneticPr fontId="1"/>
  </si>
  <si>
    <t>ボス</t>
    <phoneticPr fontId="1"/>
  </si>
  <si>
    <t>カメラ</t>
    <phoneticPr fontId="1"/>
  </si>
  <si>
    <t>当たり判定</t>
    <rPh sb="0" eb="1">
      <t>ア</t>
    </rPh>
    <rPh sb="3" eb="5">
      <t>ハンテイ</t>
    </rPh>
    <phoneticPr fontId="1"/>
  </si>
  <si>
    <t>移動</t>
    <rPh sb="0" eb="2">
      <t>イドウ</t>
    </rPh>
    <phoneticPr fontId="1"/>
  </si>
  <si>
    <t>ジャンプ</t>
    <phoneticPr fontId="1"/>
  </si>
  <si>
    <t>システム</t>
    <phoneticPr fontId="1"/>
  </si>
  <si>
    <t>通常攻撃</t>
    <rPh sb="0" eb="4">
      <t>ツウジョウコウゲキ</t>
    </rPh>
    <phoneticPr fontId="1"/>
  </si>
  <si>
    <t>ロックオン</t>
    <phoneticPr fontId="1"/>
  </si>
  <si>
    <t>ターゲット切り替え</t>
    <rPh sb="5" eb="6">
      <t>キ</t>
    </rPh>
    <rPh sb="7" eb="8">
      <t>カ</t>
    </rPh>
    <phoneticPr fontId="1"/>
  </si>
  <si>
    <t>操作</t>
    <rPh sb="0" eb="2">
      <t>ソウサ</t>
    </rPh>
    <phoneticPr fontId="1"/>
  </si>
  <si>
    <t>Application</t>
    <phoneticPr fontId="1"/>
  </si>
  <si>
    <t>シングルトン</t>
    <phoneticPr fontId="1"/>
  </si>
  <si>
    <t>SceneManager</t>
    <phoneticPr fontId="1"/>
  </si>
  <si>
    <t>ModelManager</t>
    <phoneticPr fontId="1"/>
  </si>
  <si>
    <t>SoundManager</t>
    <phoneticPr fontId="1"/>
  </si>
  <si>
    <t>Input</t>
    <phoneticPr fontId="1"/>
  </si>
  <si>
    <t>CollisionManager</t>
    <phoneticPr fontId="1"/>
  </si>
  <si>
    <t>シングルトンじゃない</t>
    <phoneticPr fontId="1"/>
  </si>
  <si>
    <t>GameObject</t>
    <phoneticPr fontId="1"/>
  </si>
  <si>
    <t>Player</t>
    <phoneticPr fontId="1"/>
  </si>
  <si>
    <t>EnemyBase</t>
    <phoneticPr fontId="1"/>
  </si>
  <si>
    <t>概要</t>
    <rPh sb="0" eb="2">
      <t>ガイヨウ</t>
    </rPh>
    <phoneticPr fontId="1"/>
  </si>
  <si>
    <t>詳細</t>
    <rPh sb="0" eb="2">
      <t>ショウサイ</t>
    </rPh>
    <phoneticPr fontId="1"/>
  </si>
  <si>
    <t>優先度</t>
    <rPh sb="0" eb="3">
      <t>ユウセンド</t>
    </rPh>
    <phoneticPr fontId="1"/>
  </si>
  <si>
    <t>バージョン</t>
    <phoneticPr fontId="1"/>
  </si>
  <si>
    <t>コスト</t>
    <phoneticPr fontId="1"/>
  </si>
  <si>
    <t>実コスト</t>
    <rPh sb="0" eb="1">
      <t>ジツ</t>
    </rPh>
    <phoneticPr fontId="1"/>
  </si>
  <si>
    <t>進捗</t>
    <rPh sb="0" eb="2">
      <t>シンチョク</t>
    </rPh>
    <phoneticPr fontId="1"/>
  </si>
  <si>
    <t>コリジョンマネージャー</t>
    <phoneticPr fontId="1"/>
  </si>
  <si>
    <t>プロト</t>
  </si>
  <si>
    <t>S</t>
  </si>
  <si>
    <t>未着手</t>
  </si>
  <si>
    <t>球と球</t>
    <rPh sb="0" eb="1">
      <t>キュウ</t>
    </rPh>
    <rPh sb="2" eb="3">
      <t>キュウ</t>
    </rPh>
    <phoneticPr fontId="1"/>
  </si>
  <si>
    <t>球とカプセル</t>
    <rPh sb="0" eb="1">
      <t>キュウ</t>
    </rPh>
    <phoneticPr fontId="1"/>
  </si>
  <si>
    <t>球とモデル</t>
    <rPh sb="0" eb="1">
      <t>キュウ</t>
    </rPh>
    <phoneticPr fontId="1"/>
  </si>
  <si>
    <t>カプセルとモデル</t>
    <phoneticPr fontId="1"/>
  </si>
  <si>
    <t>素材</t>
    <rPh sb="0" eb="2">
      <t>ソザイ</t>
    </rPh>
    <phoneticPr fontId="1"/>
  </si>
  <si>
    <t>デバッグ</t>
    <phoneticPr fontId="1"/>
  </si>
  <si>
    <t>AI</t>
    <phoneticPr fontId="1"/>
  </si>
  <si>
    <t>攻撃</t>
    <rPh sb="0" eb="2">
      <t>コウゲキ</t>
    </rPh>
    <phoneticPr fontId="1"/>
  </si>
  <si>
    <t>作成</t>
    <rPh sb="0" eb="2">
      <t>サクセイ</t>
    </rPh>
    <phoneticPr fontId="1"/>
  </si>
  <si>
    <t>アニメーション</t>
    <phoneticPr fontId="1"/>
  </si>
  <si>
    <t>敵1</t>
    <rPh sb="0" eb="1">
      <t>テキ</t>
    </rPh>
    <phoneticPr fontId="1"/>
  </si>
  <si>
    <t>敵2</t>
    <rPh sb="0" eb="1">
      <t>テキ</t>
    </rPh>
    <phoneticPr fontId="1"/>
  </si>
  <si>
    <t>回避</t>
    <rPh sb="0" eb="2">
      <t>カイヒ</t>
    </rPh>
    <phoneticPr fontId="1"/>
  </si>
  <si>
    <t>1コスト1時間</t>
    <rPh sb="5" eb="7">
      <t>ジカン</t>
    </rPh>
    <phoneticPr fontId="1"/>
  </si>
  <si>
    <t>5月</t>
    <rPh sb="1" eb="2">
      <t>ガツ</t>
    </rPh>
    <phoneticPr fontId="1"/>
  </si>
  <si>
    <t>月</t>
    <rPh sb="0" eb="1">
      <t>ゲツ</t>
    </rPh>
    <phoneticPr fontId="1"/>
  </si>
  <si>
    <t>火</t>
    <rPh sb="0" eb="1">
      <t>カ</t>
    </rPh>
    <phoneticPr fontId="1"/>
  </si>
  <si>
    <t>水</t>
    <rPh sb="0" eb="1">
      <t>ミズ</t>
    </rPh>
    <phoneticPr fontId="1"/>
  </si>
  <si>
    <t>木</t>
    <rPh sb="0" eb="1">
      <t>キ</t>
    </rPh>
    <phoneticPr fontId="1"/>
  </si>
  <si>
    <t>金</t>
    <rPh sb="0" eb="1">
      <t>キン</t>
    </rPh>
    <phoneticPr fontId="1"/>
  </si>
  <si>
    <t>土</t>
    <rPh sb="0" eb="1">
      <t>ド</t>
    </rPh>
    <phoneticPr fontId="1"/>
  </si>
  <si>
    <t>日</t>
    <rPh sb="0" eb="1">
      <t>ニチ</t>
    </rPh>
    <phoneticPr fontId="1"/>
  </si>
  <si>
    <t>6月</t>
    <rPh sb="1" eb="2">
      <t>ガツ</t>
    </rPh>
    <phoneticPr fontId="1"/>
  </si>
  <si>
    <t>7月</t>
    <rPh sb="1" eb="2">
      <t>ガツ</t>
    </rPh>
    <phoneticPr fontId="1"/>
  </si>
  <si>
    <t>8月</t>
    <rPh sb="1" eb="2">
      <t>ガツ</t>
    </rPh>
    <phoneticPr fontId="1"/>
  </si>
  <si>
    <t>9月</t>
    <rPh sb="1" eb="2">
      <t>ガツ</t>
    </rPh>
    <phoneticPr fontId="1"/>
  </si>
  <si>
    <t>プロト</t>
    <phoneticPr fontId="1"/>
  </si>
  <si>
    <t>アルファ</t>
    <phoneticPr fontId="1"/>
  </si>
  <si>
    <t>ベータ</t>
  </si>
  <si>
    <t>ベータ</t>
    <phoneticPr fontId="1"/>
  </si>
  <si>
    <t>マスター</t>
  </si>
  <si>
    <t>マスター</t>
    <phoneticPr fontId="1"/>
  </si>
  <si>
    <t>締め切り</t>
    <rPh sb="0" eb="1">
      <t>シ</t>
    </rPh>
    <rPh sb="2" eb="3">
      <t>キ</t>
    </rPh>
    <phoneticPr fontId="1"/>
  </si>
  <si>
    <t>修正</t>
    <rPh sb="0" eb="2">
      <t>シュウセイ</t>
    </rPh>
    <phoneticPr fontId="1"/>
  </si>
  <si>
    <t>マスターアップ</t>
    <phoneticPr fontId="1"/>
  </si>
  <si>
    <t>悪いとこ洗い出し</t>
    <rPh sb="0" eb="1">
      <t>ワル</t>
    </rPh>
    <rPh sb="4" eb="5">
      <t>アラ</t>
    </rPh>
    <rPh sb="6" eb="7">
      <t>ダ</t>
    </rPh>
    <phoneticPr fontId="1"/>
  </si>
  <si>
    <t>完了</t>
  </si>
  <si>
    <t>必殺技ゲージ</t>
    <rPh sb="0" eb="3">
      <t>ヒッサツワザ</t>
    </rPh>
    <phoneticPr fontId="1"/>
  </si>
  <si>
    <t>総コスト</t>
    <rPh sb="0" eb="1">
      <t>ソウ</t>
    </rPh>
    <phoneticPr fontId="1"/>
  </si>
  <si>
    <t>すべて</t>
    <phoneticPr fontId="1"/>
  </si>
  <si>
    <t>プロト</t>
    <phoneticPr fontId="1"/>
  </si>
  <si>
    <t>アルファ</t>
    <phoneticPr fontId="1"/>
  </si>
  <si>
    <t>ベータ</t>
    <phoneticPr fontId="1"/>
  </si>
  <si>
    <t>マスター</t>
    <phoneticPr fontId="1"/>
  </si>
  <si>
    <t>未完了</t>
    <rPh sb="0" eb="3">
      <t>ミカンリョウ</t>
    </rPh>
    <phoneticPr fontId="1"/>
  </si>
  <si>
    <t>進捗率</t>
    <rPh sb="0" eb="3">
      <t>シンチョクリツ</t>
    </rPh>
    <phoneticPr fontId="1"/>
  </si>
  <si>
    <t>プレイヤーのできる行動</t>
    <rPh sb="9" eb="11">
      <t>コウドウ</t>
    </rPh>
    <phoneticPr fontId="1"/>
  </si>
  <si>
    <t>コンボ</t>
    <phoneticPr fontId="1"/>
  </si>
  <si>
    <t>アビリティ1</t>
    <phoneticPr fontId="1"/>
  </si>
  <si>
    <t>アビリティ2</t>
    <phoneticPr fontId="1"/>
  </si>
  <si>
    <t>アビリティ3</t>
    <phoneticPr fontId="1"/>
  </si>
  <si>
    <t>必殺技</t>
    <rPh sb="0" eb="3">
      <t>ヒッサツワザ</t>
    </rPh>
    <phoneticPr fontId="1"/>
  </si>
  <si>
    <t>アビリティ4</t>
    <phoneticPr fontId="1"/>
  </si>
  <si>
    <t>フェニックスシフト</t>
    <phoneticPr fontId="1"/>
  </si>
  <si>
    <t>転生の炎</t>
    <rPh sb="0" eb="2">
      <t>テンセイ</t>
    </rPh>
    <rPh sb="3" eb="4">
      <t>ホノオ</t>
    </rPh>
    <phoneticPr fontId="1"/>
  </si>
  <si>
    <t>ライトニングロッド</t>
    <phoneticPr fontId="1"/>
  </si>
  <si>
    <t>ガウジ</t>
    <phoneticPr fontId="1"/>
  </si>
  <si>
    <t>斬鉄剣</t>
    <rPh sb="0" eb="3">
      <t>ザンテツケン</t>
    </rPh>
    <phoneticPr fontId="1"/>
  </si>
  <si>
    <t>敵の目の前にテレポート</t>
    <rPh sb="0" eb="1">
      <t>テキ</t>
    </rPh>
    <rPh sb="2" eb="3">
      <t>メ</t>
    </rPh>
    <rPh sb="4" eb="5">
      <t>マエ</t>
    </rPh>
    <phoneticPr fontId="1"/>
  </si>
  <si>
    <t>自身を中心にでか攻撃</t>
    <rPh sb="0" eb="2">
      <t>ジシン</t>
    </rPh>
    <rPh sb="3" eb="5">
      <t>チュウシン</t>
    </rPh>
    <rPh sb="8" eb="10">
      <t>コウゲキ</t>
    </rPh>
    <phoneticPr fontId="1"/>
  </si>
  <si>
    <t>雷のオブジェクトを設置。これに攻撃するとそこから範囲攻撃</t>
    <rPh sb="0" eb="1">
      <t>カミナリ</t>
    </rPh>
    <rPh sb="9" eb="11">
      <t>セッチ</t>
    </rPh>
    <rPh sb="15" eb="17">
      <t>コウゲキ</t>
    </rPh>
    <rPh sb="24" eb="28">
      <t>ハンイコウゲキ</t>
    </rPh>
    <phoneticPr fontId="1"/>
  </si>
  <si>
    <t>爪で切り裂く連続攻撃</t>
    <rPh sb="0" eb="1">
      <t>ツメ</t>
    </rPh>
    <rPh sb="2" eb="3">
      <t>キ</t>
    </rPh>
    <rPh sb="4" eb="5">
      <t>サ</t>
    </rPh>
    <rPh sb="6" eb="10">
      <t>レンゾクコウゲキ</t>
    </rPh>
    <phoneticPr fontId="1"/>
  </si>
  <si>
    <t>ゲージを消費してめっちゃかっこいい全体攻撃</t>
    <rPh sb="4" eb="6">
      <t>ショウヒ</t>
    </rPh>
    <rPh sb="17" eb="21">
      <t>ゼンタイコウゲキ</t>
    </rPh>
    <phoneticPr fontId="1"/>
  </si>
  <si>
    <t>ゲージがたまる</t>
    <phoneticPr fontId="1"/>
  </si>
  <si>
    <t>S</t>
    <phoneticPr fontId="1"/>
  </si>
  <si>
    <t>A</t>
    <phoneticPr fontId="1"/>
  </si>
  <si>
    <t>B</t>
    <phoneticPr fontId="1"/>
  </si>
  <si>
    <t>SS</t>
    <phoneticPr fontId="1"/>
  </si>
  <si>
    <t>敵はボス単体</t>
    <rPh sb="0" eb="1">
      <t>テキ</t>
    </rPh>
    <phoneticPr fontId="1"/>
  </si>
  <si>
    <t>カメラがいっぱい動くからそのへん考えないといけなそう</t>
    <rPh sb="8" eb="9">
      <t>ウゴ</t>
    </rPh>
    <rPh sb="16" eb="17">
      <t>カンガ</t>
    </rPh>
    <phoneticPr fontId="1"/>
  </si>
  <si>
    <t>キャラクター</t>
    <phoneticPr fontId="1"/>
  </si>
  <si>
    <t>ステージは平面で障害物なし</t>
    <rPh sb="5" eb="7">
      <t>ヘイメン</t>
    </rPh>
    <rPh sb="8" eb="11">
      <t>ショウガイブツ</t>
    </rPh>
    <phoneticPr fontId="1"/>
  </si>
  <si>
    <t>プレイヤーステート</t>
    <phoneticPr fontId="1"/>
  </si>
  <si>
    <t>ボスステート</t>
    <phoneticPr fontId="1"/>
  </si>
  <si>
    <t>アプリケーション</t>
    <phoneticPr fontId="1"/>
  </si>
  <si>
    <t>シーンマネージャー</t>
    <phoneticPr fontId="1"/>
  </si>
  <si>
    <t>タイトルシーン</t>
    <phoneticPr fontId="1"/>
  </si>
  <si>
    <t>ゲームシーン</t>
    <phoneticPr fontId="1"/>
  </si>
  <si>
    <t>リザルトシーン</t>
    <phoneticPr fontId="1"/>
  </si>
  <si>
    <t>プレイヤーの細かい設計</t>
    <rPh sb="6" eb="7">
      <t>コマ</t>
    </rPh>
    <rPh sb="9" eb="11">
      <t>セッケイ</t>
    </rPh>
    <phoneticPr fontId="1"/>
  </si>
  <si>
    <t>ステート</t>
    <phoneticPr fontId="1"/>
  </si>
  <si>
    <t>待機</t>
    <rPh sb="0" eb="2">
      <t>タイキ</t>
    </rPh>
    <phoneticPr fontId="1"/>
  </si>
  <si>
    <t>敵の位置を持つ必要がある</t>
    <rPh sb="0" eb="1">
      <t>テキ</t>
    </rPh>
    <rPh sb="2" eb="4">
      <t>イチ</t>
    </rPh>
    <rPh sb="5" eb="6">
      <t>モ</t>
    </rPh>
    <rPh sb="7" eb="9">
      <t>ヒツヨウ</t>
    </rPh>
    <phoneticPr fontId="1"/>
  </si>
  <si>
    <t>カメラ演出</t>
    <rPh sb="3" eb="5">
      <t>エンシュツ</t>
    </rPh>
    <phoneticPr fontId="1"/>
  </si>
  <si>
    <t>別オブジェクトとして設置する必要がある</t>
    <rPh sb="0" eb="1">
      <t>ベツ</t>
    </rPh>
    <rPh sb="10" eb="12">
      <t>セッチ</t>
    </rPh>
    <rPh sb="14" eb="16">
      <t>ヒツヨウ</t>
    </rPh>
    <phoneticPr fontId="1"/>
  </si>
  <si>
    <t>連打してる間継続してアニメーションを行う</t>
    <rPh sb="0" eb="2">
      <t>レンダ</t>
    </rPh>
    <rPh sb="5" eb="6">
      <t>アイダ</t>
    </rPh>
    <rPh sb="6" eb="8">
      <t>ケイゾク</t>
    </rPh>
    <rPh sb="18" eb="19">
      <t>オコナ</t>
    </rPh>
    <phoneticPr fontId="1"/>
  </si>
  <si>
    <t>指定したシェーダーを使用して描画を行うクラスが必要そう=シェーダー管理クラス</t>
    <rPh sb="0" eb="2">
      <t>シテイ</t>
    </rPh>
    <rPh sb="10" eb="12">
      <t>シヨウ</t>
    </rPh>
    <rPh sb="14" eb="16">
      <t>ビョウガ</t>
    </rPh>
    <rPh sb="17" eb="18">
      <t>オコナ</t>
    </rPh>
    <rPh sb="23" eb="25">
      <t>ヒツヨウ</t>
    </rPh>
    <rPh sb="33" eb="35">
      <t>カンリ</t>
    </rPh>
    <phoneticPr fontId="1"/>
  </si>
  <si>
    <t>攻撃の設計</t>
    <rPh sb="0" eb="2">
      <t>コウゲキ</t>
    </rPh>
    <rPh sb="3" eb="5">
      <t>セッケイ</t>
    </rPh>
    <phoneticPr fontId="1"/>
  </si>
  <si>
    <t>攻撃のデータがいりそう</t>
    <rPh sb="0" eb="2">
      <t>コウゲキ</t>
    </rPh>
    <phoneticPr fontId="1"/>
  </si>
  <si>
    <t>攻撃のアニメーション</t>
    <rPh sb="0" eb="2">
      <t>コウゲキ</t>
    </rPh>
    <phoneticPr fontId="1"/>
  </si>
  <si>
    <t>当たり判定がいつからいつまでいるか</t>
    <rPh sb="0" eb="1">
      <t>ア</t>
    </rPh>
    <rPh sb="3" eb="5">
      <t>ハンテイ</t>
    </rPh>
    <phoneticPr fontId="1"/>
  </si>
  <si>
    <t>・攻撃のアニメーション</t>
    <rPh sb="1" eb="3">
      <t>コウゲキ</t>
    </rPh>
    <phoneticPr fontId="1"/>
  </si>
  <si>
    <t>・当たり判定がいつからいつまでいるか</t>
    <rPh sb="1" eb="2">
      <t>ア</t>
    </rPh>
    <rPh sb="4" eb="6">
      <t>ハンテイ</t>
    </rPh>
    <phoneticPr fontId="1"/>
  </si>
  <si>
    <t>・コンボのキャンセル可能時間</t>
    <rPh sb="10" eb="12">
      <t>カノウ</t>
    </rPh>
    <rPh sb="12" eb="14">
      <t>ジカン</t>
    </rPh>
    <phoneticPr fontId="1"/>
  </si>
  <si>
    <t>課題：敵に当たった瞬間だけダメージ処理</t>
    <rPh sb="0" eb="2">
      <t>カダイ</t>
    </rPh>
    <rPh sb="3" eb="4">
      <t>テキ</t>
    </rPh>
    <rPh sb="17" eb="19">
      <t>ショリ</t>
    </rPh>
    <phoneticPr fontId="1"/>
  </si>
  <si>
    <t>→攻撃が当たった敵のIDを覚えておいて、すでに当たっていたなら当たり判定しない</t>
    <rPh sb="1" eb="3">
      <t>コウゲキ</t>
    </rPh>
    <rPh sb="4" eb="5">
      <t>ア</t>
    </rPh>
    <rPh sb="8" eb="9">
      <t>テキ</t>
    </rPh>
    <rPh sb="13" eb="14">
      <t>オボ</t>
    </rPh>
    <rPh sb="23" eb="24">
      <t>ア</t>
    </rPh>
    <rPh sb="31" eb="32">
      <t>ア</t>
    </rPh>
    <rPh sb="34" eb="36">
      <t>ハンテイ</t>
    </rPh>
    <phoneticPr fontId="1"/>
  </si>
  <si>
    <t>・当たったオブジェクトのIDのList</t>
    <rPh sb="1" eb="2">
      <t>ア</t>
    </rPh>
    <phoneticPr fontId="1"/>
  </si>
  <si>
    <t>↑この攻撃のデータを管理するクラスもいりそう</t>
    <rPh sb="3" eb="5">
      <t>コウゲキ</t>
    </rPh>
    <rPh sb="10" eb="12">
      <t>カンリ</t>
    </rPh>
    <phoneticPr fontId="1"/>
  </si>
  <si>
    <t>課題2：攻撃の汎用化</t>
    <rPh sb="0" eb="2">
      <t>カダイ</t>
    </rPh>
    <rPh sb="4" eb="6">
      <t>コウゲキ</t>
    </rPh>
    <rPh sb="7" eb="10">
      <t>ハンヨウカ</t>
    </rPh>
    <phoneticPr fontId="1"/>
  </si>
  <si>
    <t>→プレイヤーの攻撃、という感じではなく、プレイヤーでも敵でもおんなじクラスで攻撃判定ができるようにする</t>
    <rPh sb="7" eb="9">
      <t>コウゲキ</t>
    </rPh>
    <rPh sb="13" eb="14">
      <t>カン</t>
    </rPh>
    <rPh sb="27" eb="28">
      <t>テキ</t>
    </rPh>
    <rPh sb="38" eb="43">
      <t>コウゲキ</t>
    </rPh>
    <phoneticPr fontId="1"/>
  </si>
  <si>
    <t>・どのキャラに当たるか</t>
    <rPh sb="7" eb="8">
      <t>ア</t>
    </rPh>
    <phoneticPr fontId="1"/>
  </si>
  <si>
    <t>→キャラクタータグみたいなのがいりそう</t>
    <phoneticPr fontId="1"/>
  </si>
  <si>
    <t>ゲームに登場する主要なものをまとめる</t>
    <rPh sb="4" eb="6">
      <t>トウジョウ</t>
    </rPh>
    <rPh sb="8" eb="10">
      <t>シュヨウ</t>
    </rPh>
    <phoneticPr fontId="1"/>
  </si>
  <si>
    <t>ステージ</t>
    <phoneticPr fontId="1"/>
  </si>
  <si>
    <t>それぞれが持つものをまとめる</t>
    <rPh sb="5" eb="6">
      <t>モ</t>
    </rPh>
    <phoneticPr fontId="1"/>
  </si>
  <si>
    <t>・プレイヤー</t>
    <phoneticPr fontId="1"/>
  </si>
  <si>
    <t>攻撃の当たり判定</t>
    <rPh sb="0" eb="2">
      <t>コウゲキ</t>
    </rPh>
    <rPh sb="3" eb="4">
      <t>ア</t>
    </rPh>
    <rPh sb="6" eb="8">
      <t>ハンテイ</t>
    </rPh>
    <phoneticPr fontId="1"/>
  </si>
  <si>
    <t>自身の当たり判定</t>
    <rPh sb="0" eb="2">
      <t>ジシン</t>
    </rPh>
    <rPh sb="3" eb="4">
      <t>ア</t>
    </rPh>
    <rPh sb="6" eb="8">
      <t>ハンテイ</t>
    </rPh>
    <phoneticPr fontId="1"/>
  </si>
  <si>
    <t>位置</t>
    <rPh sb="0" eb="2">
      <t>イチ</t>
    </rPh>
    <phoneticPr fontId="1"/>
  </si>
  <si>
    <t>速度</t>
    <rPh sb="0" eb="2">
      <t>ソクド</t>
    </rPh>
    <phoneticPr fontId="1"/>
  </si>
  <si>
    <t>モデル</t>
    <phoneticPr fontId="1"/>
  </si>
  <si>
    <t>・ボス</t>
    <phoneticPr fontId="1"/>
  </si>
  <si>
    <t>・ステージ</t>
    <phoneticPr fontId="1"/>
  </si>
  <si>
    <t>・攻撃</t>
    <rPh sb="1" eb="3">
      <t>コウゲキ</t>
    </rPh>
    <phoneticPr fontId="1"/>
  </si>
  <si>
    <t>当たったオブジェクトのIDのList</t>
    <rPh sb="0" eb="1">
      <t>ア</t>
    </rPh>
    <phoneticPr fontId="1"/>
  </si>
  <si>
    <t>どのキャラに当たるか</t>
    <rPh sb="6" eb="7">
      <t>ア</t>
    </rPh>
    <phoneticPr fontId="1"/>
  </si>
  <si>
    <t>↓継承</t>
    <rPh sb="1" eb="3">
      <t>ケイショウ</t>
    </rPh>
    <phoneticPr fontId="1"/>
  </si>
  <si>
    <t>プレイヤーステートベース</t>
    <phoneticPr fontId="1"/>
  </si>
  <si>
    <t>アビリティ</t>
    <phoneticPr fontId="1"/>
  </si>
  <si>
    <t>ボスステートベース</t>
    <phoneticPr fontId="1"/>
  </si>
  <si>
    <t>ボスどうする？</t>
    <phoneticPr fontId="1"/>
  </si>
  <si>
    <t>ドラゴン</t>
    <phoneticPr fontId="1"/>
  </si>
  <si>
    <t>悪魔的な奴</t>
    <rPh sb="0" eb="2">
      <t>アクマ</t>
    </rPh>
    <rPh sb="2" eb="3">
      <t>テキ</t>
    </rPh>
    <rPh sb="4" eb="5">
      <t>ヤツ</t>
    </rPh>
    <phoneticPr fontId="1"/>
  </si>
  <si>
    <t>鉄巨人</t>
    <rPh sb="0" eb="3">
      <t>テツキョジン</t>
    </rPh>
    <phoneticPr fontId="1"/>
  </si>
  <si>
    <t>→オブジェクトにIDを配るIDマネージャーみたいなのがいりそう</t>
    <rPh sb="11" eb="12">
      <t>クバ</t>
    </rPh>
    <phoneticPr fontId="1"/>
  </si>
  <si>
    <t>モデルマネージャー</t>
    <phoneticPr fontId="1"/>
  </si>
  <si>
    <t>IDマネージャー</t>
    <phoneticPr fontId="1"/>
  </si>
  <si>
    <t>サウンドマネージャー</t>
    <phoneticPr fontId="1"/>
  </si>
  <si>
    <t>インプット</t>
    <phoneticPr fontId="1"/>
  </si>
  <si>
    <t>ターゲットマネージャー</t>
    <phoneticPr fontId="1"/>
  </si>
  <si>
    <t>ライジングフレイム</t>
    <phoneticPr fontId="1"/>
  </si>
  <si>
    <t>スカーレットサイクロン</t>
    <phoneticPr fontId="1"/>
  </si>
  <si>
    <t>プレイヤーのスキル</t>
    <phoneticPr fontId="1"/>
  </si>
  <si>
    <t>ゾンビ</t>
    <phoneticPr fontId="1"/>
  </si>
  <si>
    <t>鳥</t>
    <rPh sb="0" eb="1">
      <t>トリ</t>
    </rPh>
    <phoneticPr fontId="1"/>
  </si>
  <si>
    <t>オーク</t>
    <phoneticPr fontId="1"/>
  </si>
  <si>
    <t>スキル1(テレポート)</t>
    <phoneticPr fontId="1"/>
  </si>
  <si>
    <t>スキル3(範囲攻撃)</t>
    <rPh sb="5" eb="9">
      <t>ハンイコウゲキ</t>
    </rPh>
    <phoneticPr fontId="1"/>
  </si>
  <si>
    <t>スキル4(必殺技)</t>
    <rPh sb="5" eb="8">
      <t>ヒッサツワザ</t>
    </rPh>
    <phoneticPr fontId="1"/>
  </si>
  <si>
    <t>シーン</t>
    <phoneticPr fontId="1"/>
  </si>
  <si>
    <t>タイトル</t>
    <phoneticPr fontId="1"/>
  </si>
  <si>
    <t>マネージャー</t>
    <phoneticPr fontId="1"/>
  </si>
  <si>
    <t>遷移</t>
    <rPh sb="0" eb="2">
      <t>センイ</t>
    </rPh>
    <phoneticPr fontId="1"/>
  </si>
  <si>
    <t>S</t>
    <phoneticPr fontId="1"/>
  </si>
  <si>
    <t>プロト</t>
    <phoneticPr fontId="1"/>
  </si>
  <si>
    <t>UI</t>
    <phoneticPr fontId="1"/>
  </si>
  <si>
    <t>プレイヤー体力</t>
    <rPh sb="5" eb="7">
      <t>タイリョク</t>
    </rPh>
    <phoneticPr fontId="1"/>
  </si>
  <si>
    <t>プレイヤー必殺ゲージ</t>
    <rPh sb="5" eb="7">
      <t>ヒッサツ</t>
    </rPh>
    <phoneticPr fontId="1"/>
  </si>
  <si>
    <t>敵体力</t>
    <rPh sb="0" eb="1">
      <t>テキ</t>
    </rPh>
    <rPh sb="1" eb="3">
      <t>タイリョク</t>
    </rPh>
    <phoneticPr fontId="1"/>
  </si>
  <si>
    <t>ボス体力</t>
    <rPh sb="2" eb="4">
      <t>タイリョク</t>
    </rPh>
    <phoneticPr fontId="1"/>
  </si>
  <si>
    <t>ゲームシーン(雑魚戦)</t>
    <rPh sb="7" eb="9">
      <t>ザコ</t>
    </rPh>
    <rPh sb="9" eb="10">
      <t>セン</t>
    </rPh>
    <phoneticPr fontId="1"/>
  </si>
  <si>
    <t>敵体力</t>
    <rPh sb="0" eb="1">
      <t>テキ</t>
    </rPh>
    <rPh sb="1" eb="3">
      <t>タイリョク</t>
    </rPh>
    <phoneticPr fontId="1"/>
  </si>
  <si>
    <t>必殺ゲージ</t>
    <rPh sb="0" eb="2">
      <t>ヒッサツ</t>
    </rPh>
    <phoneticPr fontId="1"/>
  </si>
  <si>
    <t>ゲームシーン(ボス戦)</t>
    <rPh sb="9" eb="10">
      <t>セン</t>
    </rPh>
    <phoneticPr fontId="1"/>
  </si>
  <si>
    <t>タイトル</t>
    <phoneticPr fontId="1"/>
  </si>
  <si>
    <t>リザルト</t>
    <phoneticPr fontId="1"/>
  </si>
  <si>
    <t>操作ガイド</t>
    <rPh sb="0" eb="2">
      <t>ソウサ</t>
    </rPh>
    <phoneticPr fontId="1"/>
  </si>
  <si>
    <t>タイトルメニュー</t>
    <phoneticPr fontId="1"/>
  </si>
  <si>
    <t>リザルトメニュー</t>
    <phoneticPr fontId="1"/>
  </si>
  <si>
    <t>ポーズメニュー</t>
    <phoneticPr fontId="1"/>
  </si>
  <si>
    <t>オプションメニュー</t>
    <phoneticPr fontId="1"/>
  </si>
  <si>
    <t>ボスの攻撃</t>
    <rPh sb="3" eb="5">
      <t>コウゲキ</t>
    </rPh>
    <phoneticPr fontId="1"/>
  </si>
  <si>
    <t>突進</t>
    <rPh sb="0" eb="2">
      <t>トッシン</t>
    </rPh>
    <phoneticPr fontId="1"/>
  </si>
  <si>
    <t>斬撃飛ばし</t>
    <rPh sb="0" eb="2">
      <t>ザンゲキ</t>
    </rPh>
    <rPh sb="2" eb="3">
      <t>ト</t>
    </rPh>
    <phoneticPr fontId="1"/>
  </si>
  <si>
    <t>2段コンボ</t>
    <rPh sb="1" eb="2">
      <t>ダン</t>
    </rPh>
    <phoneticPr fontId="1"/>
  </si>
  <si>
    <t>ブン→ザカザカ</t>
    <phoneticPr fontId="1"/>
  </si>
  <si>
    <t>敵スポーン</t>
    <rPh sb="0" eb="1">
      <t>テキ</t>
    </rPh>
    <phoneticPr fontId="1"/>
  </si>
  <si>
    <t>オルカ</t>
    <phoneticPr fontId="1"/>
  </si>
  <si>
    <t>操作ガイドUIイメージ</t>
    <rPh sb="0" eb="2">
      <t>ソウサ</t>
    </rPh>
    <phoneticPr fontId="1"/>
  </si>
  <si>
    <t>スキル名</t>
    <rPh sb="3" eb="4">
      <t>メイ</t>
    </rPh>
    <phoneticPr fontId="1"/>
  </si>
  <si>
    <t>パッシブ名</t>
    <rPh sb="4" eb="5">
      <t>メイ</t>
    </rPh>
    <phoneticPr fontId="1"/>
  </si>
  <si>
    <t>クリア</t>
    <phoneticPr fontId="1"/>
  </si>
  <si>
    <t>ゲームオーバー</t>
    <phoneticPr fontId="1"/>
  </si>
  <si>
    <t>フェード</t>
    <phoneticPr fontId="1"/>
  </si>
  <si>
    <t>ポーズ</t>
    <phoneticPr fontId="1"/>
  </si>
  <si>
    <t>オプション</t>
    <phoneticPr fontId="1"/>
  </si>
  <si>
    <t>アルファ</t>
  </si>
  <si>
    <t>エフェクト</t>
    <phoneticPr fontId="1"/>
  </si>
  <si>
    <t>プレイヤー攻撃ヒット</t>
    <rPh sb="5" eb="7">
      <t>コウゲキ</t>
    </rPh>
    <phoneticPr fontId="1"/>
  </si>
  <si>
    <t>敵攻撃ヒット</t>
    <rPh sb="0" eb="1">
      <t>テキ</t>
    </rPh>
    <rPh sb="1" eb="3">
      <t>コウゲキ</t>
    </rPh>
    <phoneticPr fontId="1"/>
  </si>
  <si>
    <t>スキル</t>
    <phoneticPr fontId="1"/>
  </si>
  <si>
    <t>必殺技</t>
    <rPh sb="0" eb="3">
      <t>ヒッサツワザ</t>
    </rPh>
    <phoneticPr fontId="1"/>
  </si>
  <si>
    <t>ボス攻撃1(突進)</t>
    <rPh sb="2" eb="4">
      <t>コウゲキ</t>
    </rPh>
    <rPh sb="6" eb="8">
      <t>トッシン</t>
    </rPh>
    <phoneticPr fontId="1"/>
  </si>
  <si>
    <t>ボス攻撃2(飛ぶ斬撃)</t>
    <rPh sb="2" eb="4">
      <t>コウゲキ</t>
    </rPh>
    <rPh sb="6" eb="7">
      <t>ト</t>
    </rPh>
    <rPh sb="8" eb="10">
      <t>ザンゲキ</t>
    </rPh>
    <phoneticPr fontId="1"/>
  </si>
  <si>
    <t>ボス攻撃3(連続斬撃)</t>
    <rPh sb="2" eb="4">
      <t>コウゲキ</t>
    </rPh>
    <rPh sb="6" eb="10">
      <t>レンゾクザンゲキ</t>
    </rPh>
    <phoneticPr fontId="1"/>
  </si>
  <si>
    <t>サウンド</t>
    <phoneticPr fontId="1"/>
  </si>
  <si>
    <t>サウンドマネージャー</t>
    <phoneticPr fontId="1"/>
  </si>
  <si>
    <t>素材探し</t>
    <rPh sb="0" eb="3">
      <t>ソザイサガ</t>
    </rPh>
    <phoneticPr fontId="1"/>
  </si>
  <si>
    <t>実装</t>
    <rPh sb="0" eb="2">
      <t>ジッソウ</t>
    </rPh>
    <phoneticPr fontId="1"/>
  </si>
  <si>
    <t>やることとか書き出し</t>
    <rPh sb="6" eb="7">
      <t>カ</t>
    </rPh>
    <rPh sb="8" eb="9">
      <t>ダ</t>
    </rPh>
    <phoneticPr fontId="1"/>
  </si>
  <si>
    <t>空中でスピン使えるようにする</t>
    <rPh sb="0" eb="2">
      <t>クウチュウ</t>
    </rPh>
    <rPh sb="6" eb="7">
      <t>ツカ</t>
    </rPh>
    <phoneticPr fontId="1"/>
  </si>
  <si>
    <t>ヒットストップ実装</t>
    <rPh sb="7" eb="9">
      <t>ジッソウ</t>
    </rPh>
    <phoneticPr fontId="1"/>
  </si>
  <si>
    <t>テレポート攻撃実装</t>
    <rPh sb="5" eb="7">
      <t>コウゲキ</t>
    </rPh>
    <rPh sb="7" eb="9">
      <t>ジッソウ</t>
    </rPh>
    <phoneticPr fontId="1"/>
  </si>
  <si>
    <t>敵同士の距離を空ける(テレポートをいっぱい使わせるため)</t>
    <rPh sb="0" eb="3">
      <t>テキドウシ</t>
    </rPh>
    <rPh sb="4" eb="6">
      <t>キョリ</t>
    </rPh>
    <rPh sb="7" eb="8">
      <t>ア</t>
    </rPh>
    <rPh sb="21" eb="22">
      <t>ツカ</t>
    </rPh>
    <phoneticPr fontId="1"/>
  </si>
  <si>
    <t>ステージをでかくする(上をやるため)</t>
    <rPh sb="11" eb="12">
      <t>ウエ</t>
    </rPh>
    <phoneticPr fontId="1"/>
  </si>
  <si>
    <t>移動を快適にする(ダッシュとか実装)</t>
    <rPh sb="0" eb="2">
      <t>イドウ</t>
    </rPh>
    <rPh sb="3" eb="5">
      <t>カイテキ</t>
    </rPh>
    <rPh sb="15" eb="17">
      <t>ジッソウ</t>
    </rPh>
    <phoneticPr fontId="1"/>
  </si>
  <si>
    <t>ボス登場演出でカメラを揺らす+歪みエフェクト</t>
    <rPh sb="2" eb="6">
      <t>トウジョウエンシュツ</t>
    </rPh>
    <rPh sb="11" eb="12">
      <t>ユ</t>
    </rPh>
    <rPh sb="15" eb="16">
      <t>ユガ</t>
    </rPh>
    <phoneticPr fontId="1"/>
  </si>
  <si>
    <t>ロックオンのカメラを改善する(鳥とかが高いところに行くと見えないため)</t>
    <rPh sb="10" eb="12">
      <t>カイゼン</t>
    </rPh>
    <rPh sb="15" eb="16">
      <t>トリ</t>
    </rPh>
    <rPh sb="19" eb="20">
      <t>タカ</t>
    </rPh>
    <rPh sb="25" eb="26">
      <t>イ</t>
    </rPh>
    <rPh sb="28" eb="29">
      <t>ミ</t>
    </rPh>
    <phoneticPr fontId="1"/>
  </si>
  <si>
    <t>通常攻撃の硬直を短く</t>
    <rPh sb="0" eb="4">
      <t>ツウジョウコウゲキ</t>
    </rPh>
    <rPh sb="5" eb="7">
      <t>コウチョク</t>
    </rPh>
    <rPh sb="8" eb="9">
      <t>ミジカ</t>
    </rPh>
    <phoneticPr fontId="1"/>
  </si>
  <si>
    <t>ボス線で死んだらボス戦手前から始まるように</t>
    <rPh sb="2" eb="3">
      <t>セン</t>
    </rPh>
    <rPh sb="4" eb="5">
      <t>シ</t>
    </rPh>
    <rPh sb="10" eb="11">
      <t>セン</t>
    </rPh>
    <rPh sb="11" eb="13">
      <t>テマエ</t>
    </rPh>
    <rPh sb="15" eb="16">
      <t>ハジ</t>
    </rPh>
    <phoneticPr fontId="1"/>
  </si>
  <si>
    <t>書いた日付</t>
    <rPh sb="0" eb="1">
      <t>カ</t>
    </rPh>
    <rPh sb="3" eb="5">
      <t>ヒヅケ</t>
    </rPh>
    <phoneticPr fontId="1"/>
  </si>
  <si>
    <t>やること</t>
    <phoneticPr fontId="1"/>
  </si>
  <si>
    <t>やった日付</t>
    <rPh sb="3" eb="5">
      <t>ヒヅケ</t>
    </rPh>
    <phoneticPr fontId="1"/>
  </si>
  <si>
    <t>やりたいこと</t>
    <phoneticPr fontId="1"/>
  </si>
  <si>
    <t>スキル追加(ライジングフレイム)</t>
    <rPh sb="3" eb="5">
      <t>ツイカ</t>
    </rPh>
    <phoneticPr fontId="1"/>
  </si>
  <si>
    <t>遠距離攻撃追加(魔法)</t>
    <rPh sb="0" eb="7">
      <t>エンキョリコウゲキツイカ</t>
    </rPh>
    <rPh sb="8" eb="10">
      <t>マホウ</t>
    </rPh>
    <phoneticPr fontId="1"/>
  </si>
  <si>
    <t>敵、ステージ、ボスを増やす</t>
    <rPh sb="0" eb="1">
      <t>テキ</t>
    </rPh>
    <rPh sb="10" eb="11">
      <t>フ</t>
    </rPh>
    <phoneticPr fontId="1"/>
  </si>
  <si>
    <t>余裕があったらやりたいこと</t>
    <rPh sb="0" eb="2">
      <t>ヨユウ</t>
    </rPh>
    <phoneticPr fontId="1"/>
  </si>
  <si>
    <t>やることメモから引用</t>
    <rPh sb="8" eb="10">
      <t>インヨウ</t>
    </rPh>
    <phoneticPr fontId="1"/>
  </si>
  <si>
    <t>ボスの撃破演出</t>
    <rPh sb="3" eb="7">
      <t>ゲキハエンシュツ</t>
    </rPh>
    <phoneticPr fontId="1"/>
  </si>
  <si>
    <t>ゲームシーン以外を凝る</t>
    <rPh sb="6" eb="8">
      <t>イガイ</t>
    </rPh>
    <rPh sb="9" eb="10">
      <t>コ</t>
    </rPh>
    <phoneticPr fontId="1"/>
  </si>
  <si>
    <t>クリアシーン</t>
    <phoneticPr fontId="1"/>
  </si>
  <si>
    <t>ゲームオーバーシーン</t>
    <phoneticPr fontId="1"/>
  </si>
  <si>
    <t>ポーズシーン</t>
    <phoneticPr fontId="1"/>
  </si>
  <si>
    <t>オプションシーン</t>
    <phoneticPr fontId="1"/>
  </si>
  <si>
    <t>細かいエフェクト実装</t>
    <rPh sb="0" eb="1">
      <t>コマ</t>
    </rPh>
    <rPh sb="8" eb="10">
      <t>ジッソウ</t>
    </rPh>
    <phoneticPr fontId="1"/>
  </si>
  <si>
    <t>SE、BGMの実装</t>
    <rPh sb="7" eb="9">
      <t>ジッソウ</t>
    </rPh>
    <phoneticPr fontId="1"/>
  </si>
  <si>
    <t>通常攻撃をスピンでキャンセルできるように</t>
    <rPh sb="0" eb="4">
      <t>ツウジョウコウゲキ</t>
    </rPh>
    <phoneticPr fontId="1"/>
  </si>
  <si>
    <t>通常攻撃をシフトでキャンセルできるように</t>
    <rPh sb="0" eb="4">
      <t>ツウジョウコウゲキ</t>
    </rPh>
    <phoneticPr fontId="1"/>
  </si>
  <si>
    <t>ボス登場演出をスキップできるようにする</t>
    <rPh sb="2" eb="6">
      <t>トウジョウエンシュツ</t>
    </rPh>
    <phoneticPr fontId="1"/>
  </si>
  <si>
    <t>備考欄</t>
    <rPh sb="0" eb="3">
      <t>ビコウラン</t>
    </rPh>
    <phoneticPr fontId="1"/>
  </si>
  <si>
    <t>チュートリアルを作る</t>
    <rPh sb="8" eb="9">
      <t>ツク</t>
    </rPh>
    <phoneticPr fontId="1"/>
  </si>
  <si>
    <t>ヒット時のエフェクト、微振動を実装する(ヒットストップだけだとしょぼいため)</t>
    <rPh sb="3" eb="4">
      <t>ジ</t>
    </rPh>
    <rPh sb="11" eb="14">
      <t>ビシンドウ</t>
    </rPh>
    <rPh sb="15" eb="17">
      <t>ジッソウ</t>
    </rPh>
    <phoneticPr fontId="1"/>
  </si>
  <si>
    <t>ロックオンしていないときに敵に攻撃が当たったらロックオンする</t>
    <rPh sb="13" eb="14">
      <t>テキ</t>
    </rPh>
    <rPh sb="15" eb="17">
      <t>コウゲキ</t>
    </rPh>
    <rPh sb="18" eb="19">
      <t>ア</t>
    </rPh>
    <phoneticPr fontId="1"/>
  </si>
  <si>
    <t>カメラのめり込みをどうにかする</t>
    <rPh sb="6" eb="7">
      <t>コ</t>
    </rPh>
    <phoneticPr fontId="1"/>
  </si>
  <si>
    <t>CPQ</t>
    <phoneticPr fontId="1"/>
  </si>
  <si>
    <t>ゲーム大祭</t>
    <rPh sb="3" eb="5">
      <t>タイサイ</t>
    </rPh>
    <phoneticPr fontId="1"/>
  </si>
  <si>
    <t>バンナム</t>
    <phoneticPr fontId="1"/>
  </si>
  <si>
    <t>B+</t>
    <phoneticPr fontId="1"/>
  </si>
  <si>
    <t>A+</t>
    <phoneticPr fontId="1"/>
  </si>
  <si>
    <t>B-</t>
    <phoneticPr fontId="1"/>
  </si>
  <si>
    <t>空中での攻撃で浮いてる感を出す</t>
    <rPh sb="0" eb="2">
      <t>クウチュウ</t>
    </rPh>
    <rPh sb="4" eb="6">
      <t>コウゲキ</t>
    </rPh>
    <rPh sb="7" eb="8">
      <t>ウ</t>
    </rPh>
    <rPh sb="11" eb="12">
      <t>カン</t>
    </rPh>
    <rPh sb="13" eb="14">
      <t>ダ</t>
    </rPh>
    <phoneticPr fontId="1"/>
  </si>
  <si>
    <t>ボスのエフェクトを実装する</t>
    <rPh sb="9" eb="11">
      <t>ジッソウ</t>
    </rPh>
    <phoneticPr fontId="1"/>
  </si>
  <si>
    <t>ゲームシーン以外を仕上げる</t>
    <rPh sb="6" eb="8">
      <t>イガイ</t>
    </rPh>
    <rPh sb="9" eb="11">
      <t>シア</t>
    </rPh>
    <phoneticPr fontId="1"/>
  </si>
  <si>
    <t>A-</t>
    <phoneticPr fontId="1"/>
  </si>
  <si>
    <t>K2</t>
    <phoneticPr fontId="1"/>
  </si>
  <si>
    <t>のこり期間でやること</t>
    <rPh sb="3" eb="5">
      <t>キカン</t>
    </rPh>
    <phoneticPr fontId="1"/>
  </si>
  <si>
    <t>カメラをブラッシュアップする</t>
    <phoneticPr fontId="1"/>
  </si>
  <si>
    <t>敵、ステージを増やす</t>
    <rPh sb="0" eb="1">
      <t>テキ</t>
    </rPh>
    <rPh sb="7" eb="8">
      <t>フ</t>
    </rPh>
    <phoneticPr fontId="1"/>
  </si>
  <si>
    <t>その他シーンを仕上げる</t>
    <rPh sb="2" eb="3">
      <t>タ</t>
    </rPh>
    <rPh sb="7" eb="9">
      <t>シア</t>
    </rPh>
    <phoneticPr fontId="1"/>
  </si>
  <si>
    <t>追加する効果音</t>
    <rPh sb="0" eb="2">
      <t>ツイカ</t>
    </rPh>
    <rPh sb="4" eb="7">
      <t>コウカオン</t>
    </rPh>
    <phoneticPr fontId="1"/>
  </si>
  <si>
    <t>攻撃空振り</t>
    <rPh sb="0" eb="2">
      <t>コウゲキ</t>
    </rPh>
    <rPh sb="2" eb="4">
      <t>カラブ</t>
    </rPh>
    <phoneticPr fontId="1"/>
  </si>
  <si>
    <t>攻撃ヒット</t>
    <rPh sb="0" eb="2">
      <t>コウゲキ</t>
    </rPh>
    <phoneticPr fontId="1"/>
  </si>
  <si>
    <t>足音</t>
    <rPh sb="0" eb="2">
      <t>アシオト</t>
    </rPh>
    <phoneticPr fontId="1"/>
  </si>
  <si>
    <t>テレポート</t>
    <phoneticPr fontId="1"/>
  </si>
  <si>
    <t>被弾</t>
    <rPh sb="0" eb="2">
      <t>ヒダン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</si>
</sst>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1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1" tint="0.499984740745262"/>
        <bgColor indexed="64"/>
      </patternFill>
    </fill>
    <fill>
      <patternFill patternType="solid">
        <fgColor rgb="FF92D050"/>
        <bgColor indexed="64"/>
      </patternFill>
    </fill>
    <fill>
      <patternFill patternType="solid">
        <fgColor theme="1" tint="0.249977111117893"/>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58">
    <xf numFmtId="0" fontId="0" fillId="0" borderId="0" xfId="0">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0" fillId="0" borderId="18" xfId="0" applyBorder="1">
      <alignment vertical="center"/>
    </xf>
    <xf numFmtId="0" fontId="0" fillId="2" borderId="1" xfId="0" applyFill="1" applyBorder="1">
      <alignment vertical="center"/>
    </xf>
    <xf numFmtId="0" fontId="0" fillId="0" borderId="19" xfId="0" applyBorder="1">
      <alignment vertical="center"/>
    </xf>
    <xf numFmtId="0" fontId="0" fillId="3" borderId="1" xfId="0" applyFill="1" applyBorder="1">
      <alignment vertical="center"/>
    </xf>
    <xf numFmtId="0" fontId="0" fillId="4" borderId="1" xfId="0" applyFill="1" applyBorder="1">
      <alignment vertical="center"/>
    </xf>
    <xf numFmtId="0" fontId="0" fillId="6" borderId="4" xfId="0" applyFill="1" applyBorder="1">
      <alignment vertical="center"/>
    </xf>
    <xf numFmtId="0" fontId="0" fillId="0" borderId="20" xfId="0" applyBorder="1">
      <alignment vertical="center"/>
    </xf>
    <xf numFmtId="0" fontId="0" fillId="0" borderId="21" xfId="0" applyBorder="1">
      <alignment vertical="center"/>
    </xf>
    <xf numFmtId="0" fontId="0" fillId="4" borderId="22" xfId="0" applyFill="1" applyBorder="1">
      <alignment vertical="center"/>
    </xf>
    <xf numFmtId="0" fontId="0" fillId="4" borderId="23" xfId="0" applyFill="1" applyBorder="1">
      <alignment vertical="center"/>
    </xf>
    <xf numFmtId="0" fontId="0" fillId="4" borderId="24" xfId="0" applyFill="1" applyBorder="1">
      <alignment vertical="center"/>
    </xf>
    <xf numFmtId="0" fontId="0" fillId="5" borderId="24" xfId="0" applyFill="1" applyBorder="1">
      <alignment vertical="center"/>
    </xf>
    <xf numFmtId="0" fontId="0" fillId="0" borderId="26" xfId="0" applyBorder="1">
      <alignment vertical="center"/>
    </xf>
    <xf numFmtId="0" fontId="0" fillId="0" borderId="27" xfId="0" applyBorder="1">
      <alignment vertical="center"/>
    </xf>
    <xf numFmtId="0" fontId="0" fillId="2" borderId="21" xfId="0" applyFill="1" applyBorder="1">
      <alignment vertical="center"/>
    </xf>
    <xf numFmtId="0" fontId="0" fillId="2" borderId="22" xfId="0" applyFill="1" applyBorder="1">
      <alignment vertical="center"/>
    </xf>
    <xf numFmtId="0" fontId="0" fillId="2" borderId="23" xfId="0" applyFill="1" applyBorder="1">
      <alignment vertical="center"/>
    </xf>
    <xf numFmtId="0" fontId="0" fillId="3" borderId="24" xfId="0" applyFill="1" applyBorder="1">
      <alignment vertical="center"/>
    </xf>
    <xf numFmtId="0" fontId="0" fillId="3" borderId="23" xfId="0" applyFill="1" applyBorder="1">
      <alignment vertical="center"/>
    </xf>
    <xf numFmtId="0" fontId="0" fillId="3" borderId="25" xfId="0" applyFill="1" applyBorder="1">
      <alignment vertical="center"/>
    </xf>
    <xf numFmtId="0" fontId="0" fillId="3" borderId="26" xfId="0" applyFill="1" applyBorder="1">
      <alignment vertical="center"/>
    </xf>
    <xf numFmtId="0" fontId="0" fillId="4" borderId="26" xfId="0" applyFill="1" applyBorder="1">
      <alignment vertical="center"/>
    </xf>
    <xf numFmtId="0" fontId="0" fillId="2" borderId="24" xfId="0" applyFill="1" applyBorder="1">
      <alignment vertical="center"/>
    </xf>
    <xf numFmtId="0" fontId="0" fillId="2" borderId="25" xfId="0" applyFill="1" applyBorder="1">
      <alignment vertical="center"/>
    </xf>
    <xf numFmtId="0" fontId="0" fillId="2" borderId="26" xfId="0" applyFill="1" applyBorder="1">
      <alignment vertical="center"/>
    </xf>
    <xf numFmtId="56" fontId="0" fillId="0" borderId="0" xfId="0" applyNumberFormat="1">
      <alignment vertical="center"/>
    </xf>
    <xf numFmtId="0" fontId="0" fillId="7" borderId="23" xfId="0" applyFill="1" applyBorder="1">
      <alignment vertical="center"/>
    </xf>
    <xf numFmtId="0" fontId="0" fillId="7" borderId="1" xfId="0" applyFill="1" applyBorder="1">
      <alignment vertical="center"/>
    </xf>
    <xf numFmtId="0" fontId="0" fillId="7" borderId="24" xfId="0" applyFill="1" applyBorder="1">
      <alignment vertical="center"/>
    </xf>
    <xf numFmtId="0" fontId="0" fillId="8" borderId="1" xfId="0" applyFill="1" applyBorder="1">
      <alignment vertical="center"/>
    </xf>
    <xf numFmtId="0" fontId="0" fillId="5" borderId="25" xfId="0" applyFill="1" applyBorder="1">
      <alignment vertical="center"/>
    </xf>
    <xf numFmtId="0" fontId="0" fillId="5" borderId="26" xfId="0" applyFill="1" applyBorder="1">
      <alignment vertical="center"/>
    </xf>
    <xf numFmtId="0" fontId="0" fillId="5" borderId="4" xfId="0" applyFill="1" applyBorder="1">
      <alignment vertical="center"/>
    </xf>
    <xf numFmtId="0" fontId="0" fillId="9" borderId="1" xfId="0" applyFill="1" applyBorder="1">
      <alignment vertical="center"/>
    </xf>
    <xf numFmtId="0" fontId="0" fillId="9" borderId="23" xfId="0" applyFill="1" applyBorder="1">
      <alignment vertical="center"/>
    </xf>
    <xf numFmtId="0" fontId="0" fillId="9" borderId="24" xfId="0" applyFill="1" applyBorder="1">
      <alignment vertical="center"/>
    </xf>
  </cellXfs>
  <cellStyles count="1">
    <cellStyle name="標準"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xdr:col>
      <xdr:colOff>123825</xdr:colOff>
      <xdr:row>1</xdr:row>
      <xdr:rowOff>152400</xdr:rowOff>
    </xdr:from>
    <xdr:to>
      <xdr:col>4</xdr:col>
      <xdr:colOff>219075</xdr:colOff>
      <xdr:row>2</xdr:row>
      <xdr:rowOff>133350</xdr:rowOff>
    </xdr:to>
    <xdr:sp macro="" textlink="">
      <xdr:nvSpPr>
        <xdr:cNvPr id="2" name="正方形/長方形 1">
          <a:extLst>
            <a:ext uri="{FF2B5EF4-FFF2-40B4-BE49-F238E27FC236}">
              <a16:creationId xmlns:a16="http://schemas.microsoft.com/office/drawing/2014/main" id="{A2C976F0-AFD9-254F-807A-9362A6A17E6E}"/>
            </a:ext>
          </a:extLst>
        </xdr:cNvPr>
        <xdr:cNvSpPr/>
      </xdr:nvSpPr>
      <xdr:spPr>
        <a:xfrm>
          <a:off x="809625" y="400050"/>
          <a:ext cx="2152650" cy="219075"/>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chemeClr val="tx1"/>
              </a:solidFill>
            </a:rPr>
            <a:t>プレイヤー体力</a:t>
          </a:r>
        </a:p>
      </xdr:txBody>
    </xdr:sp>
    <xdr:clientData/>
  </xdr:twoCellAnchor>
  <xdr:twoCellAnchor>
    <xdr:from>
      <xdr:col>1</xdr:col>
      <xdr:colOff>123825</xdr:colOff>
      <xdr:row>2</xdr:row>
      <xdr:rowOff>200026</xdr:rowOff>
    </xdr:from>
    <xdr:to>
      <xdr:col>3</xdr:col>
      <xdr:colOff>600075</xdr:colOff>
      <xdr:row>3</xdr:row>
      <xdr:rowOff>38101</xdr:rowOff>
    </xdr:to>
    <xdr:sp macro="" textlink="">
      <xdr:nvSpPr>
        <xdr:cNvPr id="3" name="正方形/長方形 2">
          <a:extLst>
            <a:ext uri="{FF2B5EF4-FFF2-40B4-BE49-F238E27FC236}">
              <a16:creationId xmlns:a16="http://schemas.microsoft.com/office/drawing/2014/main" id="{B01FFF53-E475-482F-BF4D-2D57A53B064E}"/>
            </a:ext>
          </a:extLst>
        </xdr:cNvPr>
        <xdr:cNvSpPr/>
      </xdr:nvSpPr>
      <xdr:spPr>
        <a:xfrm>
          <a:off x="809625" y="685801"/>
          <a:ext cx="1847850" cy="762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chemeClr val="tx1"/>
              </a:solidFill>
            </a:rPr>
            <a:t>プレイヤー体力</a:t>
          </a:r>
        </a:p>
      </xdr:txBody>
    </xdr:sp>
    <xdr:clientData/>
  </xdr:twoCellAnchor>
  <xdr:twoCellAnchor>
    <xdr:from>
      <xdr:col>3</xdr:col>
      <xdr:colOff>542925</xdr:colOff>
      <xdr:row>6</xdr:row>
      <xdr:rowOff>219075</xdr:rowOff>
    </xdr:from>
    <xdr:to>
      <xdr:col>4</xdr:col>
      <xdr:colOff>619125</xdr:colOff>
      <xdr:row>14</xdr:row>
      <xdr:rowOff>47625</xdr:rowOff>
    </xdr:to>
    <xdr:sp macro="" textlink="">
      <xdr:nvSpPr>
        <xdr:cNvPr id="4" name="楕円 3">
          <a:extLst>
            <a:ext uri="{FF2B5EF4-FFF2-40B4-BE49-F238E27FC236}">
              <a16:creationId xmlns:a16="http://schemas.microsoft.com/office/drawing/2014/main" id="{21107852-E1DA-1FD3-E059-35C77375E2C2}"/>
            </a:ext>
          </a:extLst>
        </xdr:cNvPr>
        <xdr:cNvSpPr/>
      </xdr:nvSpPr>
      <xdr:spPr>
        <a:xfrm>
          <a:off x="2600325" y="1657350"/>
          <a:ext cx="762000" cy="17335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プレイヤー</a:t>
          </a:r>
        </a:p>
      </xdr:txBody>
    </xdr:sp>
    <xdr:clientData/>
  </xdr:twoCellAnchor>
  <xdr:twoCellAnchor>
    <xdr:from>
      <xdr:col>5</xdr:col>
      <xdr:colOff>638175</xdr:colOff>
      <xdr:row>6</xdr:row>
      <xdr:rowOff>0</xdr:rowOff>
    </xdr:from>
    <xdr:to>
      <xdr:col>6</xdr:col>
      <xdr:colOff>161925</xdr:colOff>
      <xdr:row>9</xdr:row>
      <xdr:rowOff>114300</xdr:rowOff>
    </xdr:to>
    <xdr:sp macro="" textlink="">
      <xdr:nvSpPr>
        <xdr:cNvPr id="5" name="楕円 4">
          <a:extLst>
            <a:ext uri="{FF2B5EF4-FFF2-40B4-BE49-F238E27FC236}">
              <a16:creationId xmlns:a16="http://schemas.microsoft.com/office/drawing/2014/main" id="{CDAEA0D5-524D-8278-C997-97F5010E14F5}"/>
            </a:ext>
          </a:extLst>
        </xdr:cNvPr>
        <xdr:cNvSpPr/>
      </xdr:nvSpPr>
      <xdr:spPr>
        <a:xfrm>
          <a:off x="4067175" y="1438275"/>
          <a:ext cx="209550" cy="828675"/>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400050</xdr:colOff>
      <xdr:row>7</xdr:row>
      <xdr:rowOff>95250</xdr:rowOff>
    </xdr:from>
    <xdr:to>
      <xdr:col>6</xdr:col>
      <xdr:colOff>609600</xdr:colOff>
      <xdr:row>10</xdr:row>
      <xdr:rowOff>209550</xdr:rowOff>
    </xdr:to>
    <xdr:sp macro="" textlink="">
      <xdr:nvSpPr>
        <xdr:cNvPr id="6" name="楕円 5">
          <a:extLst>
            <a:ext uri="{FF2B5EF4-FFF2-40B4-BE49-F238E27FC236}">
              <a16:creationId xmlns:a16="http://schemas.microsoft.com/office/drawing/2014/main" id="{369153F1-DF23-495C-8E72-7DAA1DE9359A}"/>
            </a:ext>
          </a:extLst>
        </xdr:cNvPr>
        <xdr:cNvSpPr/>
      </xdr:nvSpPr>
      <xdr:spPr>
        <a:xfrm>
          <a:off x="4514850" y="1771650"/>
          <a:ext cx="209550" cy="828675"/>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352425</xdr:colOff>
      <xdr:row>5</xdr:row>
      <xdr:rowOff>104775</xdr:rowOff>
    </xdr:from>
    <xdr:to>
      <xdr:col>6</xdr:col>
      <xdr:colOff>419100</xdr:colOff>
      <xdr:row>5</xdr:row>
      <xdr:rowOff>152400</xdr:rowOff>
    </xdr:to>
    <xdr:sp macro="" textlink="">
      <xdr:nvSpPr>
        <xdr:cNvPr id="7" name="正方形/長方形 6">
          <a:extLst>
            <a:ext uri="{FF2B5EF4-FFF2-40B4-BE49-F238E27FC236}">
              <a16:creationId xmlns:a16="http://schemas.microsoft.com/office/drawing/2014/main" id="{2DCB61F8-36BF-13B9-192F-06283B5EF7C9}"/>
            </a:ext>
          </a:extLst>
        </xdr:cNvPr>
        <xdr:cNvSpPr/>
      </xdr:nvSpPr>
      <xdr:spPr>
        <a:xfrm>
          <a:off x="3781425" y="1304925"/>
          <a:ext cx="752475" cy="47625"/>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142875</xdr:colOff>
      <xdr:row>6</xdr:row>
      <xdr:rowOff>180975</xdr:rowOff>
    </xdr:from>
    <xdr:to>
      <xdr:col>7</xdr:col>
      <xdr:colOff>209550</xdr:colOff>
      <xdr:row>6</xdr:row>
      <xdr:rowOff>228600</xdr:rowOff>
    </xdr:to>
    <xdr:sp macro="" textlink="">
      <xdr:nvSpPr>
        <xdr:cNvPr id="8" name="正方形/長方形 7">
          <a:extLst>
            <a:ext uri="{FF2B5EF4-FFF2-40B4-BE49-F238E27FC236}">
              <a16:creationId xmlns:a16="http://schemas.microsoft.com/office/drawing/2014/main" id="{4DA0E7B8-5C15-4ACC-B177-D5D56100170D}"/>
            </a:ext>
          </a:extLst>
        </xdr:cNvPr>
        <xdr:cNvSpPr/>
      </xdr:nvSpPr>
      <xdr:spPr>
        <a:xfrm>
          <a:off x="4257675" y="1619250"/>
          <a:ext cx="752475" cy="47625"/>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628650</xdr:colOff>
      <xdr:row>11</xdr:row>
      <xdr:rowOff>133350</xdr:rowOff>
    </xdr:from>
    <xdr:to>
      <xdr:col>10</xdr:col>
      <xdr:colOff>476250</xdr:colOff>
      <xdr:row>15</xdr:row>
      <xdr:rowOff>66675</xdr:rowOff>
    </xdr:to>
    <xdr:sp macro="" textlink="">
      <xdr:nvSpPr>
        <xdr:cNvPr id="9" name="正方形/長方形 8">
          <a:extLst>
            <a:ext uri="{FF2B5EF4-FFF2-40B4-BE49-F238E27FC236}">
              <a16:creationId xmlns:a16="http://schemas.microsoft.com/office/drawing/2014/main" id="{2B36282A-B39C-4539-4940-CD340CC1A553}"/>
            </a:ext>
          </a:extLst>
        </xdr:cNvPr>
        <xdr:cNvSpPr/>
      </xdr:nvSpPr>
      <xdr:spPr>
        <a:xfrm>
          <a:off x="6115050" y="2762250"/>
          <a:ext cx="1219200" cy="885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操作ガイド</a:t>
          </a:r>
          <a:r>
            <a:rPr kumimoji="1" lang="en-US" altLang="ja-JP" sz="1100"/>
            <a:t>UI</a:t>
          </a:r>
          <a:endParaRPr kumimoji="1" lang="ja-JP" altLang="en-US" sz="1100"/>
        </a:p>
      </xdr:txBody>
    </xdr:sp>
    <xdr:clientData/>
  </xdr:twoCellAnchor>
  <xdr:twoCellAnchor>
    <xdr:from>
      <xdr:col>2</xdr:col>
      <xdr:colOff>152400</xdr:colOff>
      <xdr:row>3</xdr:row>
      <xdr:rowOff>0</xdr:rowOff>
    </xdr:from>
    <xdr:to>
      <xdr:col>2</xdr:col>
      <xdr:colOff>152400</xdr:colOff>
      <xdr:row>4</xdr:row>
      <xdr:rowOff>47625</xdr:rowOff>
    </xdr:to>
    <xdr:cxnSp macro="">
      <xdr:nvCxnSpPr>
        <xdr:cNvPr id="11" name="直線矢印コネクタ 10">
          <a:extLst>
            <a:ext uri="{FF2B5EF4-FFF2-40B4-BE49-F238E27FC236}">
              <a16:creationId xmlns:a16="http://schemas.microsoft.com/office/drawing/2014/main" id="{12D8401D-70BF-BD55-F385-381F84C572D1}"/>
            </a:ext>
          </a:extLst>
        </xdr:cNvPr>
        <xdr:cNvCxnSpPr/>
      </xdr:nvCxnSpPr>
      <xdr:spPr>
        <a:xfrm flipV="1">
          <a:off x="1524000" y="723900"/>
          <a:ext cx="0" cy="2857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609600</xdr:colOff>
      <xdr:row>8</xdr:row>
      <xdr:rowOff>95250</xdr:rowOff>
    </xdr:from>
    <xdr:to>
      <xdr:col>8</xdr:col>
      <xdr:colOff>57150</xdr:colOff>
      <xdr:row>9</xdr:row>
      <xdr:rowOff>33338</xdr:rowOff>
    </xdr:to>
    <xdr:cxnSp macro="">
      <xdr:nvCxnSpPr>
        <xdr:cNvPr id="18" name="直線矢印コネクタ 17">
          <a:extLst>
            <a:ext uri="{FF2B5EF4-FFF2-40B4-BE49-F238E27FC236}">
              <a16:creationId xmlns:a16="http://schemas.microsoft.com/office/drawing/2014/main" id="{3B42334C-94B3-DB14-53F6-F63EB1733BBA}"/>
            </a:ext>
          </a:extLst>
        </xdr:cNvPr>
        <xdr:cNvCxnSpPr>
          <a:endCxn id="6" idx="6"/>
        </xdr:cNvCxnSpPr>
      </xdr:nvCxnSpPr>
      <xdr:spPr>
        <a:xfrm flipH="1">
          <a:off x="4724400" y="2009775"/>
          <a:ext cx="819150" cy="17621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161925</xdr:colOff>
      <xdr:row>7</xdr:row>
      <xdr:rowOff>176213</xdr:rowOff>
    </xdr:from>
    <xdr:to>
      <xdr:col>8</xdr:col>
      <xdr:colOff>66675</xdr:colOff>
      <xdr:row>8</xdr:row>
      <xdr:rowOff>9525</xdr:rowOff>
    </xdr:to>
    <xdr:cxnSp macro="">
      <xdr:nvCxnSpPr>
        <xdr:cNvPr id="20" name="直線矢印コネクタ 19">
          <a:extLst>
            <a:ext uri="{FF2B5EF4-FFF2-40B4-BE49-F238E27FC236}">
              <a16:creationId xmlns:a16="http://schemas.microsoft.com/office/drawing/2014/main" id="{990BB2CA-6298-EFE3-7614-BCF5D61E75EF}"/>
            </a:ext>
          </a:extLst>
        </xdr:cNvPr>
        <xdr:cNvCxnSpPr>
          <a:endCxn id="5" idx="6"/>
        </xdr:cNvCxnSpPr>
      </xdr:nvCxnSpPr>
      <xdr:spPr>
        <a:xfrm flipH="1" flipV="1">
          <a:off x="4276725" y="1852613"/>
          <a:ext cx="1276350" cy="7143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219075</xdr:colOff>
      <xdr:row>3</xdr:row>
      <xdr:rowOff>228600</xdr:rowOff>
    </xdr:from>
    <xdr:to>
      <xdr:col>6</xdr:col>
      <xdr:colOff>257175</xdr:colOff>
      <xdr:row>5</xdr:row>
      <xdr:rowOff>123825</xdr:rowOff>
    </xdr:to>
    <xdr:cxnSp macro="">
      <xdr:nvCxnSpPr>
        <xdr:cNvPr id="22" name="直線矢印コネクタ 21">
          <a:extLst>
            <a:ext uri="{FF2B5EF4-FFF2-40B4-BE49-F238E27FC236}">
              <a16:creationId xmlns:a16="http://schemas.microsoft.com/office/drawing/2014/main" id="{94AC126B-DFCF-DFE0-C765-B8B7A7607AF9}"/>
            </a:ext>
          </a:extLst>
        </xdr:cNvPr>
        <xdr:cNvCxnSpPr/>
      </xdr:nvCxnSpPr>
      <xdr:spPr>
        <a:xfrm flipH="1">
          <a:off x="4333875" y="952500"/>
          <a:ext cx="38100" cy="3714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438150</xdr:colOff>
      <xdr:row>4</xdr:row>
      <xdr:rowOff>19050</xdr:rowOff>
    </xdr:from>
    <xdr:to>
      <xdr:col>6</xdr:col>
      <xdr:colOff>519113</xdr:colOff>
      <xdr:row>6</xdr:row>
      <xdr:rowOff>180975</xdr:rowOff>
    </xdr:to>
    <xdr:cxnSp macro="">
      <xdr:nvCxnSpPr>
        <xdr:cNvPr id="24" name="直線矢印コネクタ 23">
          <a:extLst>
            <a:ext uri="{FF2B5EF4-FFF2-40B4-BE49-F238E27FC236}">
              <a16:creationId xmlns:a16="http://schemas.microsoft.com/office/drawing/2014/main" id="{51582A8E-84A0-3F8E-F676-AC89587E6B91}"/>
            </a:ext>
          </a:extLst>
        </xdr:cNvPr>
        <xdr:cNvCxnSpPr>
          <a:endCxn id="8" idx="0"/>
        </xdr:cNvCxnSpPr>
      </xdr:nvCxnSpPr>
      <xdr:spPr>
        <a:xfrm>
          <a:off x="4552950" y="981075"/>
          <a:ext cx="80963" cy="638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504825</xdr:colOff>
      <xdr:row>22</xdr:row>
      <xdr:rowOff>28575</xdr:rowOff>
    </xdr:from>
    <xdr:to>
      <xdr:col>4</xdr:col>
      <xdr:colOff>581025</xdr:colOff>
      <xdr:row>29</xdr:row>
      <xdr:rowOff>95250</xdr:rowOff>
    </xdr:to>
    <xdr:sp macro="" textlink="">
      <xdr:nvSpPr>
        <xdr:cNvPr id="25" name="楕円 24">
          <a:extLst>
            <a:ext uri="{FF2B5EF4-FFF2-40B4-BE49-F238E27FC236}">
              <a16:creationId xmlns:a16="http://schemas.microsoft.com/office/drawing/2014/main" id="{D91653E2-3262-4017-B2DD-B0018FFC8430}"/>
            </a:ext>
          </a:extLst>
        </xdr:cNvPr>
        <xdr:cNvSpPr/>
      </xdr:nvSpPr>
      <xdr:spPr>
        <a:xfrm>
          <a:off x="2562225" y="5295900"/>
          <a:ext cx="762000" cy="17335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プレイヤー</a:t>
          </a:r>
        </a:p>
      </xdr:txBody>
    </xdr:sp>
    <xdr:clientData/>
  </xdr:twoCellAnchor>
  <xdr:twoCellAnchor>
    <xdr:from>
      <xdr:col>1</xdr:col>
      <xdr:colOff>152400</xdr:colOff>
      <xdr:row>17</xdr:row>
      <xdr:rowOff>190500</xdr:rowOff>
    </xdr:from>
    <xdr:to>
      <xdr:col>4</xdr:col>
      <xdr:colOff>247650</xdr:colOff>
      <xdr:row>18</xdr:row>
      <xdr:rowOff>171450</xdr:rowOff>
    </xdr:to>
    <xdr:sp macro="" textlink="">
      <xdr:nvSpPr>
        <xdr:cNvPr id="26" name="正方形/長方形 25">
          <a:extLst>
            <a:ext uri="{FF2B5EF4-FFF2-40B4-BE49-F238E27FC236}">
              <a16:creationId xmlns:a16="http://schemas.microsoft.com/office/drawing/2014/main" id="{3A9F0904-3441-414A-A6EA-823F8F5E993C}"/>
            </a:ext>
          </a:extLst>
        </xdr:cNvPr>
        <xdr:cNvSpPr/>
      </xdr:nvSpPr>
      <xdr:spPr>
        <a:xfrm>
          <a:off x="838200" y="4267200"/>
          <a:ext cx="2152650" cy="219075"/>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chemeClr val="tx1"/>
              </a:solidFill>
            </a:rPr>
            <a:t>プレイヤー体力</a:t>
          </a:r>
        </a:p>
      </xdr:txBody>
    </xdr:sp>
    <xdr:clientData/>
  </xdr:twoCellAnchor>
  <xdr:twoCellAnchor>
    <xdr:from>
      <xdr:col>1</xdr:col>
      <xdr:colOff>152400</xdr:colOff>
      <xdr:row>19</xdr:row>
      <xdr:rowOff>1</xdr:rowOff>
    </xdr:from>
    <xdr:to>
      <xdr:col>3</xdr:col>
      <xdr:colOff>628650</xdr:colOff>
      <xdr:row>19</xdr:row>
      <xdr:rowOff>76201</xdr:rowOff>
    </xdr:to>
    <xdr:sp macro="" textlink="">
      <xdr:nvSpPr>
        <xdr:cNvPr id="27" name="正方形/長方形 26">
          <a:extLst>
            <a:ext uri="{FF2B5EF4-FFF2-40B4-BE49-F238E27FC236}">
              <a16:creationId xmlns:a16="http://schemas.microsoft.com/office/drawing/2014/main" id="{8D35846B-BE74-4DC6-BCF6-F7AD7C4452E2}"/>
            </a:ext>
          </a:extLst>
        </xdr:cNvPr>
        <xdr:cNvSpPr/>
      </xdr:nvSpPr>
      <xdr:spPr>
        <a:xfrm>
          <a:off x="838200" y="4552951"/>
          <a:ext cx="1847850" cy="762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chemeClr val="tx1"/>
              </a:solidFill>
            </a:rPr>
            <a:t>プレイヤー体力</a:t>
          </a:r>
        </a:p>
      </xdr:txBody>
    </xdr:sp>
    <xdr:clientData/>
  </xdr:twoCellAnchor>
  <xdr:twoCellAnchor>
    <xdr:from>
      <xdr:col>8</xdr:col>
      <xdr:colOff>647700</xdr:colOff>
      <xdr:row>26</xdr:row>
      <xdr:rowOff>142875</xdr:rowOff>
    </xdr:from>
    <xdr:to>
      <xdr:col>10</xdr:col>
      <xdr:colOff>495300</xdr:colOff>
      <xdr:row>30</xdr:row>
      <xdr:rowOff>76200</xdr:rowOff>
    </xdr:to>
    <xdr:sp macro="" textlink="">
      <xdr:nvSpPr>
        <xdr:cNvPr id="28" name="正方形/長方形 27">
          <a:extLst>
            <a:ext uri="{FF2B5EF4-FFF2-40B4-BE49-F238E27FC236}">
              <a16:creationId xmlns:a16="http://schemas.microsoft.com/office/drawing/2014/main" id="{0DEC7D24-11E6-45B8-B974-4E1B6A797B7C}"/>
            </a:ext>
          </a:extLst>
        </xdr:cNvPr>
        <xdr:cNvSpPr/>
      </xdr:nvSpPr>
      <xdr:spPr>
        <a:xfrm>
          <a:off x="6134100" y="6362700"/>
          <a:ext cx="1219200" cy="885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操作ガイド</a:t>
          </a:r>
          <a:r>
            <a:rPr kumimoji="1" lang="en-US" altLang="ja-JP" sz="1100"/>
            <a:t>UI</a:t>
          </a:r>
          <a:endParaRPr kumimoji="1" lang="ja-JP" altLang="en-US" sz="1100"/>
        </a:p>
      </xdr:txBody>
    </xdr:sp>
    <xdr:clientData/>
  </xdr:twoCellAnchor>
  <xdr:twoCellAnchor>
    <xdr:from>
      <xdr:col>6</xdr:col>
      <xdr:colOff>219074</xdr:colOff>
      <xdr:row>20</xdr:row>
      <xdr:rowOff>104776</xdr:rowOff>
    </xdr:from>
    <xdr:to>
      <xdr:col>7</xdr:col>
      <xdr:colOff>533399</xdr:colOff>
      <xdr:row>27</xdr:row>
      <xdr:rowOff>133351</xdr:rowOff>
    </xdr:to>
    <xdr:sp macro="" textlink="">
      <xdr:nvSpPr>
        <xdr:cNvPr id="29" name="楕円 28">
          <a:extLst>
            <a:ext uri="{FF2B5EF4-FFF2-40B4-BE49-F238E27FC236}">
              <a16:creationId xmlns:a16="http://schemas.microsoft.com/office/drawing/2014/main" id="{CEED2E41-F40D-4E6B-9BED-2E9B99388A76}"/>
            </a:ext>
          </a:extLst>
        </xdr:cNvPr>
        <xdr:cNvSpPr/>
      </xdr:nvSpPr>
      <xdr:spPr>
        <a:xfrm>
          <a:off x="4333874" y="4895851"/>
          <a:ext cx="1000125" cy="1695450"/>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ボス</a:t>
          </a:r>
        </a:p>
      </xdr:txBody>
    </xdr:sp>
    <xdr:clientData/>
  </xdr:twoCellAnchor>
  <xdr:twoCellAnchor>
    <xdr:from>
      <xdr:col>5</xdr:col>
      <xdr:colOff>666751</xdr:colOff>
      <xdr:row>17</xdr:row>
      <xdr:rowOff>180975</xdr:rowOff>
    </xdr:from>
    <xdr:to>
      <xdr:col>10</xdr:col>
      <xdr:colOff>552451</xdr:colOff>
      <xdr:row>18</xdr:row>
      <xdr:rowOff>161925</xdr:rowOff>
    </xdr:to>
    <xdr:sp macro="" textlink="">
      <xdr:nvSpPr>
        <xdr:cNvPr id="30" name="正方形/長方形 29">
          <a:extLst>
            <a:ext uri="{FF2B5EF4-FFF2-40B4-BE49-F238E27FC236}">
              <a16:creationId xmlns:a16="http://schemas.microsoft.com/office/drawing/2014/main" id="{0F8AC022-30CD-4C84-939E-81C91EF0981C}"/>
            </a:ext>
          </a:extLst>
        </xdr:cNvPr>
        <xdr:cNvSpPr/>
      </xdr:nvSpPr>
      <xdr:spPr>
        <a:xfrm>
          <a:off x="4095751" y="4257675"/>
          <a:ext cx="3314700" cy="219075"/>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ボス</a:t>
          </a:r>
          <a:r>
            <a:rPr kumimoji="1" lang="en-US" altLang="ja-JP" sz="1100"/>
            <a:t>HP</a:t>
          </a:r>
          <a:endParaRPr kumimoji="1" lang="ja-JP" altLang="en-US" sz="1100"/>
        </a:p>
      </xdr:txBody>
    </xdr:sp>
    <xdr:clientData/>
  </xdr:twoCellAnchor>
  <xdr:twoCellAnchor>
    <xdr:from>
      <xdr:col>3</xdr:col>
      <xdr:colOff>171450</xdr:colOff>
      <xdr:row>33</xdr:row>
      <xdr:rowOff>171450</xdr:rowOff>
    </xdr:from>
    <xdr:to>
      <xdr:col>8</xdr:col>
      <xdr:colOff>647700</xdr:colOff>
      <xdr:row>37</xdr:row>
      <xdr:rowOff>57150</xdr:rowOff>
    </xdr:to>
    <xdr:sp macro="" textlink="">
      <xdr:nvSpPr>
        <xdr:cNvPr id="31" name="正方形/長方形 30">
          <a:extLst>
            <a:ext uri="{FF2B5EF4-FFF2-40B4-BE49-F238E27FC236}">
              <a16:creationId xmlns:a16="http://schemas.microsoft.com/office/drawing/2014/main" id="{4D71044A-9442-8275-12E3-4E546839D308}"/>
            </a:ext>
          </a:extLst>
        </xdr:cNvPr>
        <xdr:cNvSpPr/>
      </xdr:nvSpPr>
      <xdr:spPr>
        <a:xfrm>
          <a:off x="2228850" y="8077200"/>
          <a:ext cx="3905250" cy="838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タイトル</a:t>
          </a:r>
        </a:p>
      </xdr:txBody>
    </xdr:sp>
    <xdr:clientData/>
  </xdr:twoCellAnchor>
  <xdr:twoCellAnchor>
    <xdr:from>
      <xdr:col>4</xdr:col>
      <xdr:colOff>504825</xdr:colOff>
      <xdr:row>39</xdr:row>
      <xdr:rowOff>152400</xdr:rowOff>
    </xdr:from>
    <xdr:to>
      <xdr:col>7</xdr:col>
      <xdr:colOff>285750</xdr:colOff>
      <xdr:row>40</xdr:row>
      <xdr:rowOff>161925</xdr:rowOff>
    </xdr:to>
    <xdr:sp macro="" textlink="">
      <xdr:nvSpPr>
        <xdr:cNvPr id="33" name="正方形/長方形 32">
          <a:extLst>
            <a:ext uri="{FF2B5EF4-FFF2-40B4-BE49-F238E27FC236}">
              <a16:creationId xmlns:a16="http://schemas.microsoft.com/office/drawing/2014/main" id="{D05CB1E7-788F-4D97-BC79-308C43257EC3}"/>
            </a:ext>
          </a:extLst>
        </xdr:cNvPr>
        <xdr:cNvSpPr/>
      </xdr:nvSpPr>
      <xdr:spPr>
        <a:xfrm>
          <a:off x="3248025" y="9486900"/>
          <a:ext cx="1838325"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スタート</a:t>
          </a:r>
        </a:p>
      </xdr:txBody>
    </xdr:sp>
    <xdr:clientData/>
  </xdr:twoCellAnchor>
  <xdr:twoCellAnchor>
    <xdr:from>
      <xdr:col>4</xdr:col>
      <xdr:colOff>495300</xdr:colOff>
      <xdr:row>41</xdr:row>
      <xdr:rowOff>57150</xdr:rowOff>
    </xdr:from>
    <xdr:to>
      <xdr:col>7</xdr:col>
      <xdr:colOff>276225</xdr:colOff>
      <xdr:row>42</xdr:row>
      <xdr:rowOff>66675</xdr:rowOff>
    </xdr:to>
    <xdr:sp macro="" textlink="">
      <xdr:nvSpPr>
        <xdr:cNvPr id="34" name="正方形/長方形 33">
          <a:extLst>
            <a:ext uri="{FF2B5EF4-FFF2-40B4-BE49-F238E27FC236}">
              <a16:creationId xmlns:a16="http://schemas.microsoft.com/office/drawing/2014/main" id="{45B6A834-9D66-4248-B56B-7D2089CE2D41}"/>
            </a:ext>
          </a:extLst>
        </xdr:cNvPr>
        <xdr:cNvSpPr/>
      </xdr:nvSpPr>
      <xdr:spPr>
        <a:xfrm>
          <a:off x="3238500" y="9867900"/>
          <a:ext cx="1838325"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オプション</a:t>
          </a:r>
        </a:p>
      </xdr:txBody>
    </xdr:sp>
    <xdr:clientData/>
  </xdr:twoCellAnchor>
  <xdr:twoCellAnchor>
    <xdr:from>
      <xdr:col>4</xdr:col>
      <xdr:colOff>476250</xdr:colOff>
      <xdr:row>42</xdr:row>
      <xdr:rowOff>219075</xdr:rowOff>
    </xdr:from>
    <xdr:to>
      <xdr:col>7</xdr:col>
      <xdr:colOff>257175</xdr:colOff>
      <xdr:row>43</xdr:row>
      <xdr:rowOff>228600</xdr:rowOff>
    </xdr:to>
    <xdr:sp macro="" textlink="">
      <xdr:nvSpPr>
        <xdr:cNvPr id="35" name="正方形/長方形 34">
          <a:extLst>
            <a:ext uri="{FF2B5EF4-FFF2-40B4-BE49-F238E27FC236}">
              <a16:creationId xmlns:a16="http://schemas.microsoft.com/office/drawing/2014/main" id="{E553A48A-0F86-42A8-893E-0D99C77FBAED}"/>
            </a:ext>
          </a:extLst>
        </xdr:cNvPr>
        <xdr:cNvSpPr/>
      </xdr:nvSpPr>
      <xdr:spPr>
        <a:xfrm>
          <a:off x="3219450" y="10267950"/>
          <a:ext cx="1838325"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終了</a:t>
          </a:r>
          <a:endParaRPr kumimoji="1" lang="en-US" altLang="ja-JP" sz="1100"/>
        </a:p>
        <a:p>
          <a:pPr algn="l"/>
          <a:endParaRPr kumimoji="1" lang="ja-JP" altLang="en-US" sz="1100"/>
        </a:p>
      </xdr:txBody>
    </xdr:sp>
    <xdr:clientData/>
  </xdr:twoCellAnchor>
  <xdr:twoCellAnchor>
    <xdr:from>
      <xdr:col>5</xdr:col>
      <xdr:colOff>28575</xdr:colOff>
      <xdr:row>49</xdr:row>
      <xdr:rowOff>209551</xdr:rowOff>
    </xdr:from>
    <xdr:to>
      <xdr:col>7</xdr:col>
      <xdr:colOff>95250</xdr:colOff>
      <xdr:row>55</xdr:row>
      <xdr:rowOff>171451</xdr:rowOff>
    </xdr:to>
    <xdr:sp macro="" textlink="">
      <xdr:nvSpPr>
        <xdr:cNvPr id="36" name="正方形/長方形 35">
          <a:extLst>
            <a:ext uri="{FF2B5EF4-FFF2-40B4-BE49-F238E27FC236}">
              <a16:creationId xmlns:a16="http://schemas.microsoft.com/office/drawing/2014/main" id="{2E09BE1B-D711-43C6-A960-7884BDB72429}"/>
            </a:ext>
          </a:extLst>
        </xdr:cNvPr>
        <xdr:cNvSpPr/>
      </xdr:nvSpPr>
      <xdr:spPr>
        <a:xfrm>
          <a:off x="3457575" y="11944351"/>
          <a:ext cx="1438275" cy="1390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ランク</a:t>
          </a:r>
        </a:p>
      </xdr:txBody>
    </xdr:sp>
    <xdr:clientData/>
  </xdr:twoCellAnchor>
  <xdr:twoCellAnchor>
    <xdr:from>
      <xdr:col>4</xdr:col>
      <xdr:colOff>476250</xdr:colOff>
      <xdr:row>47</xdr:row>
      <xdr:rowOff>238124</xdr:rowOff>
    </xdr:from>
    <xdr:to>
      <xdr:col>7</xdr:col>
      <xdr:colOff>409576</xdr:colOff>
      <xdr:row>49</xdr:row>
      <xdr:rowOff>28575</xdr:rowOff>
    </xdr:to>
    <xdr:sp macro="" textlink="">
      <xdr:nvSpPr>
        <xdr:cNvPr id="37" name="正方形/長方形 36">
          <a:extLst>
            <a:ext uri="{FF2B5EF4-FFF2-40B4-BE49-F238E27FC236}">
              <a16:creationId xmlns:a16="http://schemas.microsoft.com/office/drawing/2014/main" id="{6EB9F24F-F338-4E50-A83E-CEA1EE16F9D5}"/>
            </a:ext>
          </a:extLst>
        </xdr:cNvPr>
        <xdr:cNvSpPr/>
      </xdr:nvSpPr>
      <xdr:spPr>
        <a:xfrm>
          <a:off x="3219450" y="11496674"/>
          <a:ext cx="1990726" cy="2667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スコア</a:t>
          </a:r>
        </a:p>
      </xdr:txBody>
    </xdr:sp>
    <xdr:clientData/>
  </xdr:twoCellAnchor>
  <xdr:twoCellAnchor>
    <xdr:from>
      <xdr:col>4</xdr:col>
      <xdr:colOff>409575</xdr:colOff>
      <xdr:row>56</xdr:row>
      <xdr:rowOff>152399</xdr:rowOff>
    </xdr:from>
    <xdr:to>
      <xdr:col>7</xdr:col>
      <xdr:colOff>342901</xdr:colOff>
      <xdr:row>57</xdr:row>
      <xdr:rowOff>180975</xdr:rowOff>
    </xdr:to>
    <xdr:sp macro="" textlink="">
      <xdr:nvSpPr>
        <xdr:cNvPr id="39" name="正方形/長方形 38">
          <a:extLst>
            <a:ext uri="{FF2B5EF4-FFF2-40B4-BE49-F238E27FC236}">
              <a16:creationId xmlns:a16="http://schemas.microsoft.com/office/drawing/2014/main" id="{2FC17201-6985-4BEC-B854-48BE0DA84D1B}"/>
            </a:ext>
          </a:extLst>
        </xdr:cNvPr>
        <xdr:cNvSpPr/>
      </xdr:nvSpPr>
      <xdr:spPr>
        <a:xfrm>
          <a:off x="3152775" y="13554074"/>
          <a:ext cx="1990726" cy="2667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タイトルに戻る</a:t>
          </a:r>
        </a:p>
      </xdr:txBody>
    </xdr:sp>
    <xdr:clientData/>
  </xdr:twoCellAnchor>
  <xdr:twoCellAnchor>
    <xdr:from>
      <xdr:col>16</xdr:col>
      <xdr:colOff>57150</xdr:colOff>
      <xdr:row>2</xdr:row>
      <xdr:rowOff>219075</xdr:rowOff>
    </xdr:from>
    <xdr:to>
      <xdr:col>17</xdr:col>
      <xdr:colOff>180975</xdr:colOff>
      <xdr:row>6</xdr:row>
      <xdr:rowOff>76200</xdr:rowOff>
    </xdr:to>
    <xdr:sp macro="" textlink="">
      <xdr:nvSpPr>
        <xdr:cNvPr id="10" name="楕円 9">
          <a:extLst>
            <a:ext uri="{FF2B5EF4-FFF2-40B4-BE49-F238E27FC236}">
              <a16:creationId xmlns:a16="http://schemas.microsoft.com/office/drawing/2014/main" id="{6885376B-519E-DB19-92F8-DE2E01850B91}"/>
            </a:ext>
          </a:extLst>
        </xdr:cNvPr>
        <xdr:cNvSpPr/>
      </xdr:nvSpPr>
      <xdr:spPr>
        <a:xfrm>
          <a:off x="11029950" y="704850"/>
          <a:ext cx="809625" cy="809625"/>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523875</xdr:colOff>
      <xdr:row>6</xdr:row>
      <xdr:rowOff>200025</xdr:rowOff>
    </xdr:from>
    <xdr:to>
      <xdr:col>15</xdr:col>
      <xdr:colOff>647700</xdr:colOff>
      <xdr:row>10</xdr:row>
      <xdr:rowOff>57150</xdr:rowOff>
    </xdr:to>
    <xdr:sp macro="" textlink="">
      <xdr:nvSpPr>
        <xdr:cNvPr id="12" name="楕円 11">
          <a:extLst>
            <a:ext uri="{FF2B5EF4-FFF2-40B4-BE49-F238E27FC236}">
              <a16:creationId xmlns:a16="http://schemas.microsoft.com/office/drawing/2014/main" id="{3EC0DFEE-C4FA-4AF2-A091-734BA3C69B49}"/>
            </a:ext>
          </a:extLst>
        </xdr:cNvPr>
        <xdr:cNvSpPr/>
      </xdr:nvSpPr>
      <xdr:spPr>
        <a:xfrm>
          <a:off x="10125075" y="1638300"/>
          <a:ext cx="809625" cy="80962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104775</xdr:colOff>
      <xdr:row>10</xdr:row>
      <xdr:rowOff>171450</xdr:rowOff>
    </xdr:from>
    <xdr:to>
      <xdr:col>17</xdr:col>
      <xdr:colOff>228600</xdr:colOff>
      <xdr:row>14</xdr:row>
      <xdr:rowOff>28575</xdr:rowOff>
    </xdr:to>
    <xdr:sp macro="" textlink="">
      <xdr:nvSpPr>
        <xdr:cNvPr id="14" name="楕円 13">
          <a:extLst>
            <a:ext uri="{FF2B5EF4-FFF2-40B4-BE49-F238E27FC236}">
              <a16:creationId xmlns:a16="http://schemas.microsoft.com/office/drawing/2014/main" id="{1070556F-EFA7-4967-B18B-1B041CCAE84F}"/>
            </a:ext>
          </a:extLst>
        </xdr:cNvPr>
        <xdr:cNvSpPr/>
      </xdr:nvSpPr>
      <xdr:spPr>
        <a:xfrm>
          <a:off x="11077575" y="2562225"/>
          <a:ext cx="809625" cy="809625"/>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400052</xdr:colOff>
      <xdr:row>7</xdr:row>
      <xdr:rowOff>0</xdr:rowOff>
    </xdr:from>
    <xdr:to>
      <xdr:col>18</xdr:col>
      <xdr:colOff>438152</xdr:colOff>
      <xdr:row>9</xdr:row>
      <xdr:rowOff>219075</xdr:rowOff>
    </xdr:to>
    <xdr:sp macro="" textlink="">
      <xdr:nvSpPr>
        <xdr:cNvPr id="16" name="正方形/長方形 15">
          <a:extLst>
            <a:ext uri="{FF2B5EF4-FFF2-40B4-BE49-F238E27FC236}">
              <a16:creationId xmlns:a16="http://schemas.microsoft.com/office/drawing/2014/main" id="{D8F46A1E-C3DA-4F9F-87C9-5DA4E2136209}"/>
            </a:ext>
          </a:extLst>
        </xdr:cNvPr>
        <xdr:cNvSpPr/>
      </xdr:nvSpPr>
      <xdr:spPr>
        <a:xfrm rot="2513663">
          <a:off x="12058652" y="1676400"/>
          <a:ext cx="723900" cy="695325"/>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19D7-703C-4BDA-ABBE-D42092489F0E}">
  <dimension ref="A1:L107"/>
  <sheetViews>
    <sheetView topLeftCell="A9" workbookViewId="0">
      <selection activeCell="A29" sqref="A29:XFD29"/>
    </sheetView>
  </sheetViews>
  <sheetFormatPr defaultRowHeight="18.75" x14ac:dyDescent="0.4"/>
  <cols>
    <col min="1" max="1" width="17.125" bestFit="1" customWidth="1"/>
    <col min="2" max="2" width="23.5" bestFit="1" customWidth="1"/>
    <col min="4" max="4" width="11" bestFit="1" customWidth="1"/>
  </cols>
  <sheetData>
    <row r="1" spans="1:12" x14ac:dyDescent="0.4">
      <c r="A1" t="s">
        <v>0</v>
      </c>
      <c r="B1" t="s">
        <v>49</v>
      </c>
    </row>
    <row r="2" spans="1:12" ht="19.5" thickBot="1" x14ac:dyDescent="0.45"/>
    <row r="3" spans="1:12" ht="19.5" thickBot="1" x14ac:dyDescent="0.45">
      <c r="A3" s="1" t="s">
        <v>25</v>
      </c>
      <c r="B3" s="2" t="s">
        <v>26</v>
      </c>
      <c r="C3" s="2" t="s">
        <v>27</v>
      </c>
      <c r="D3" s="2" t="s">
        <v>28</v>
      </c>
      <c r="E3" s="2" t="s">
        <v>29</v>
      </c>
      <c r="F3" s="2" t="s">
        <v>30</v>
      </c>
      <c r="G3" s="3" t="s">
        <v>31</v>
      </c>
      <c r="J3" t="s">
        <v>74</v>
      </c>
      <c r="K3" t="s">
        <v>80</v>
      </c>
      <c r="L3" t="s">
        <v>81</v>
      </c>
    </row>
    <row r="4" spans="1:12" x14ac:dyDescent="0.4">
      <c r="A4" s="6" t="s">
        <v>6</v>
      </c>
      <c r="B4" s="8" t="s">
        <v>32</v>
      </c>
      <c r="C4" s="7" t="s">
        <v>34</v>
      </c>
      <c r="D4" s="7" t="s">
        <v>33</v>
      </c>
      <c r="E4" s="7">
        <v>5</v>
      </c>
      <c r="F4" s="7">
        <v>3</v>
      </c>
      <c r="G4" s="8" t="s">
        <v>72</v>
      </c>
      <c r="I4" t="s">
        <v>75</v>
      </c>
      <c r="J4">
        <f>SUM(E4:E105)</f>
        <v>181</v>
      </c>
      <c r="K4">
        <f>SUMIFS(E4:E99,G4:G99,"未着手") +SUMIFS(E4:E99,G4:G99,"作業中")</f>
        <v>14</v>
      </c>
      <c r="L4">
        <f xml:space="preserve"> 1 - K4 / J4</f>
        <v>0.92265193370165743</v>
      </c>
    </row>
    <row r="5" spans="1:12" x14ac:dyDescent="0.4">
      <c r="A5" s="9"/>
      <c r="B5" s="10" t="s">
        <v>36</v>
      </c>
      <c r="C5" t="s">
        <v>34</v>
      </c>
      <c r="D5" t="s">
        <v>33</v>
      </c>
      <c r="E5">
        <v>1</v>
      </c>
      <c r="F5">
        <v>1</v>
      </c>
      <c r="G5" s="10" t="s">
        <v>72</v>
      </c>
      <c r="I5" t="s">
        <v>76</v>
      </c>
      <c r="J5">
        <f>SUMIFS(E4:E105,D4:D105,"プロト")</f>
        <v>155</v>
      </c>
      <c r="K5">
        <f>SUMIFS(E4:E99,G4:G99,"未着手",D4:D99,"プロト") +SUMIFS(E4:E99,G4:G99,"作業中",D4:D99,"プロト")</f>
        <v>0</v>
      </c>
      <c r="L5">
        <f xml:space="preserve"> 1 - K5 / J5</f>
        <v>1</v>
      </c>
    </row>
    <row r="6" spans="1:12" x14ac:dyDescent="0.4">
      <c r="A6" s="9"/>
      <c r="B6" s="10" t="s">
        <v>37</v>
      </c>
      <c r="C6" t="s">
        <v>34</v>
      </c>
      <c r="D6" t="s">
        <v>33</v>
      </c>
      <c r="E6">
        <v>2</v>
      </c>
      <c r="F6">
        <v>1</v>
      </c>
      <c r="G6" s="10" t="s">
        <v>72</v>
      </c>
      <c r="I6" t="s">
        <v>77</v>
      </c>
      <c r="J6">
        <f>SUMIFS(E4:E105,D4:D105,"アルファ")</f>
        <v>14</v>
      </c>
      <c r="K6">
        <f>SUMIFS(E4:E99,G4:G99,"未着手",D4:D99,"アルファ") +SUMIFS(E4:E99,G4:G99,"作業中",D4:D99,"アルファ")</f>
        <v>2</v>
      </c>
      <c r="L6">
        <f t="shared" ref="L6:L8" si="0" xml:space="preserve"> 1 - K6 / J6</f>
        <v>0.85714285714285721</v>
      </c>
    </row>
    <row r="7" spans="1:12" x14ac:dyDescent="0.4">
      <c r="A7" s="9"/>
      <c r="B7" s="10" t="s">
        <v>38</v>
      </c>
      <c r="C7" t="s">
        <v>34</v>
      </c>
      <c r="D7" t="s">
        <v>33</v>
      </c>
      <c r="E7">
        <v>2</v>
      </c>
      <c r="F7">
        <v>1</v>
      </c>
      <c r="G7" s="10" t="s">
        <v>72</v>
      </c>
      <c r="I7" t="s">
        <v>78</v>
      </c>
      <c r="J7">
        <f>SUMIFS(E4:E105,D4:D105,"ベータ")</f>
        <v>12</v>
      </c>
      <c r="K7">
        <f>SUMIFS(E4:E99,G4:G99,"未着手",D4:D99,"ベータ") +SUMIFS(E4:E99,G4:G99,"作業中",D4:D99,"ベータ")</f>
        <v>12</v>
      </c>
      <c r="L7">
        <f t="shared" si="0"/>
        <v>0</v>
      </c>
    </row>
    <row r="8" spans="1:12" ht="19.5" thickBot="1" x14ac:dyDescent="0.45">
      <c r="A8" s="11"/>
      <c r="B8" s="13" t="s">
        <v>39</v>
      </c>
      <c r="C8" s="12" t="s">
        <v>34</v>
      </c>
      <c r="D8" s="12" t="s">
        <v>33</v>
      </c>
      <c r="E8" s="12">
        <v>2</v>
      </c>
      <c r="F8" s="12">
        <v>3</v>
      </c>
      <c r="G8" s="13" t="s">
        <v>72</v>
      </c>
      <c r="I8" t="s">
        <v>79</v>
      </c>
      <c r="J8">
        <f>SUMIFS(E4:E105,D4:D105,"マスター")</f>
        <v>0</v>
      </c>
      <c r="L8" t="e">
        <f t="shared" si="0"/>
        <v>#DIV/0!</v>
      </c>
    </row>
    <row r="9" spans="1:12" x14ac:dyDescent="0.4">
      <c r="A9" s="6" t="s">
        <v>1</v>
      </c>
      <c r="B9" s="8" t="s">
        <v>7</v>
      </c>
      <c r="C9" s="7" t="s">
        <v>34</v>
      </c>
      <c r="D9" s="7" t="s">
        <v>33</v>
      </c>
      <c r="E9" s="7">
        <v>1</v>
      </c>
      <c r="F9" s="7">
        <v>1.5</v>
      </c>
      <c r="G9" s="8" t="s">
        <v>72</v>
      </c>
    </row>
    <row r="10" spans="1:12" x14ac:dyDescent="0.4">
      <c r="A10" s="9"/>
      <c r="B10" s="10" t="s">
        <v>8</v>
      </c>
      <c r="C10" t="s">
        <v>34</v>
      </c>
      <c r="D10" t="s">
        <v>33</v>
      </c>
      <c r="E10">
        <v>2</v>
      </c>
      <c r="F10">
        <v>1.5</v>
      </c>
      <c r="G10" s="10" t="s">
        <v>72</v>
      </c>
    </row>
    <row r="11" spans="1:12" x14ac:dyDescent="0.4">
      <c r="A11" s="9"/>
      <c r="B11" s="10" t="s">
        <v>10</v>
      </c>
      <c r="C11" t="s">
        <v>34</v>
      </c>
      <c r="D11" t="s">
        <v>33</v>
      </c>
      <c r="E11">
        <v>5</v>
      </c>
      <c r="F11">
        <v>5</v>
      </c>
      <c r="G11" s="10" t="s">
        <v>72</v>
      </c>
    </row>
    <row r="12" spans="1:12" x14ac:dyDescent="0.4">
      <c r="A12" s="9"/>
      <c r="B12" s="10" t="s">
        <v>48</v>
      </c>
      <c r="C12" t="s">
        <v>34</v>
      </c>
      <c r="D12" t="s">
        <v>33</v>
      </c>
      <c r="E12">
        <v>3</v>
      </c>
      <c r="F12">
        <v>3</v>
      </c>
      <c r="G12" s="10" t="s">
        <v>72</v>
      </c>
    </row>
    <row r="13" spans="1:12" x14ac:dyDescent="0.4">
      <c r="A13" s="9"/>
      <c r="B13" s="10" t="s">
        <v>172</v>
      </c>
      <c r="C13" t="s">
        <v>34</v>
      </c>
      <c r="D13" t="s">
        <v>33</v>
      </c>
      <c r="E13">
        <v>3</v>
      </c>
      <c r="F13">
        <v>3</v>
      </c>
      <c r="G13" s="10" t="s">
        <v>72</v>
      </c>
    </row>
    <row r="14" spans="1:12" x14ac:dyDescent="0.4">
      <c r="A14" s="9"/>
      <c r="B14" s="10" t="s">
        <v>173</v>
      </c>
      <c r="C14" t="s">
        <v>34</v>
      </c>
      <c r="D14" t="s">
        <v>33</v>
      </c>
      <c r="E14">
        <v>3</v>
      </c>
      <c r="F14">
        <v>3</v>
      </c>
      <c r="G14" s="10" t="s">
        <v>72</v>
      </c>
    </row>
    <row r="15" spans="1:12" ht="19.5" thickBot="1" x14ac:dyDescent="0.45">
      <c r="A15" s="9"/>
      <c r="B15" s="10" t="s">
        <v>174</v>
      </c>
      <c r="C15" t="s">
        <v>34</v>
      </c>
      <c r="D15" t="s">
        <v>33</v>
      </c>
      <c r="E15">
        <v>3</v>
      </c>
      <c r="F15">
        <v>3</v>
      </c>
      <c r="G15" s="10" t="s">
        <v>72</v>
      </c>
    </row>
    <row r="16" spans="1:12" x14ac:dyDescent="0.4">
      <c r="A16" s="6" t="s">
        <v>5</v>
      </c>
      <c r="B16" s="8" t="s">
        <v>13</v>
      </c>
      <c r="C16" s="7" t="s">
        <v>34</v>
      </c>
      <c r="D16" s="7" t="s">
        <v>33</v>
      </c>
      <c r="E16" s="7">
        <v>2</v>
      </c>
      <c r="F16" s="7">
        <v>2</v>
      </c>
      <c r="G16" s="8" t="s">
        <v>72</v>
      </c>
    </row>
    <row r="17" spans="1:7" x14ac:dyDescent="0.4">
      <c r="A17" s="9"/>
      <c r="B17" s="10" t="s">
        <v>11</v>
      </c>
      <c r="C17" t="s">
        <v>34</v>
      </c>
      <c r="D17" t="s">
        <v>33</v>
      </c>
      <c r="E17">
        <v>5</v>
      </c>
      <c r="F17">
        <v>5</v>
      </c>
      <c r="G17" s="10" t="s">
        <v>72</v>
      </c>
    </row>
    <row r="18" spans="1:7" ht="19.5" thickBot="1" x14ac:dyDescent="0.45">
      <c r="A18" s="11"/>
      <c r="B18" s="13" t="s">
        <v>12</v>
      </c>
      <c r="C18" s="12" t="s">
        <v>34</v>
      </c>
      <c r="D18" s="12" t="s">
        <v>33</v>
      </c>
      <c r="E18" s="12">
        <v>4</v>
      </c>
      <c r="F18" s="12">
        <v>4</v>
      </c>
      <c r="G18" s="13" t="s">
        <v>72</v>
      </c>
    </row>
    <row r="19" spans="1:7" x14ac:dyDescent="0.4">
      <c r="A19" s="6" t="s">
        <v>46</v>
      </c>
      <c r="B19" s="8" t="s">
        <v>42</v>
      </c>
      <c r="C19" s="7" t="s">
        <v>34</v>
      </c>
      <c r="D19" s="7" t="s">
        <v>33</v>
      </c>
      <c r="E19" s="7">
        <v>4</v>
      </c>
      <c r="F19" s="7">
        <v>4</v>
      </c>
      <c r="G19" s="8" t="s">
        <v>72</v>
      </c>
    </row>
    <row r="20" spans="1:7" x14ac:dyDescent="0.4">
      <c r="A20" s="9"/>
      <c r="B20" s="10" t="s">
        <v>7</v>
      </c>
      <c r="C20" t="s">
        <v>34</v>
      </c>
      <c r="D20" t="s">
        <v>33</v>
      </c>
      <c r="E20">
        <v>2</v>
      </c>
      <c r="F20">
        <v>2</v>
      </c>
      <c r="G20" s="10" t="s">
        <v>72</v>
      </c>
    </row>
    <row r="21" spans="1:7" ht="19.5" thickBot="1" x14ac:dyDescent="0.45">
      <c r="A21" s="11"/>
      <c r="B21" s="13" t="s">
        <v>43</v>
      </c>
      <c r="C21" s="12" t="s">
        <v>34</v>
      </c>
      <c r="D21" s="12" t="s">
        <v>33</v>
      </c>
      <c r="E21" s="12">
        <v>3</v>
      </c>
      <c r="F21" s="12">
        <v>2</v>
      </c>
      <c r="G21" s="13" t="s">
        <v>72</v>
      </c>
    </row>
    <row r="22" spans="1:7" x14ac:dyDescent="0.4">
      <c r="A22" s="6" t="s">
        <v>47</v>
      </c>
      <c r="B22" s="8" t="s">
        <v>42</v>
      </c>
      <c r="C22" s="7" t="s">
        <v>34</v>
      </c>
      <c r="D22" s="7" t="s">
        <v>33</v>
      </c>
      <c r="E22" s="7">
        <v>4</v>
      </c>
      <c r="F22" s="7">
        <v>4</v>
      </c>
      <c r="G22" s="8" t="s">
        <v>72</v>
      </c>
    </row>
    <row r="23" spans="1:7" x14ac:dyDescent="0.4">
      <c r="A23" s="9"/>
      <c r="B23" s="10" t="s">
        <v>7</v>
      </c>
      <c r="C23" t="s">
        <v>34</v>
      </c>
      <c r="D23" t="s">
        <v>33</v>
      </c>
      <c r="E23">
        <v>2</v>
      </c>
      <c r="F23">
        <v>2</v>
      </c>
      <c r="G23" s="10" t="s">
        <v>72</v>
      </c>
    </row>
    <row r="24" spans="1:7" ht="19.5" thickBot="1" x14ac:dyDescent="0.45">
      <c r="A24" s="11"/>
      <c r="B24" s="13" t="s">
        <v>43</v>
      </c>
      <c r="C24" s="12" t="s">
        <v>34</v>
      </c>
      <c r="D24" s="12" t="s">
        <v>33</v>
      </c>
      <c r="E24" s="12">
        <v>3</v>
      </c>
      <c r="F24" s="12">
        <v>2</v>
      </c>
      <c r="G24" s="13" t="s">
        <v>72</v>
      </c>
    </row>
    <row r="25" spans="1:7" x14ac:dyDescent="0.4">
      <c r="A25" s="6" t="s">
        <v>4</v>
      </c>
      <c r="B25" s="8" t="s">
        <v>42</v>
      </c>
      <c r="C25" s="7" t="s">
        <v>34</v>
      </c>
      <c r="D25" s="7" t="s">
        <v>33</v>
      </c>
      <c r="E25" s="7">
        <v>6</v>
      </c>
      <c r="F25" s="7">
        <v>6</v>
      </c>
      <c r="G25" s="8" t="s">
        <v>72</v>
      </c>
    </row>
    <row r="26" spans="1:7" x14ac:dyDescent="0.4">
      <c r="A26" s="9"/>
      <c r="B26" s="10" t="s">
        <v>7</v>
      </c>
      <c r="C26" t="s">
        <v>34</v>
      </c>
      <c r="D26" t="s">
        <v>33</v>
      </c>
      <c r="E26">
        <v>2</v>
      </c>
      <c r="F26">
        <v>2</v>
      </c>
      <c r="G26" s="10" t="s">
        <v>72</v>
      </c>
    </row>
    <row r="27" spans="1:7" ht="19.5" thickBot="1" x14ac:dyDescent="0.45">
      <c r="A27" s="11"/>
      <c r="B27" s="13" t="s">
        <v>43</v>
      </c>
      <c r="C27" s="12" t="s">
        <v>34</v>
      </c>
      <c r="D27" s="12" t="s">
        <v>33</v>
      </c>
      <c r="E27" s="12">
        <v>4</v>
      </c>
      <c r="F27" s="12">
        <v>4</v>
      </c>
      <c r="G27" s="13" t="s">
        <v>72</v>
      </c>
    </row>
    <row r="28" spans="1:7" ht="19.5" thickBot="1" x14ac:dyDescent="0.45">
      <c r="A28" s="14" t="s">
        <v>3</v>
      </c>
      <c r="B28" s="16" t="s">
        <v>44</v>
      </c>
      <c r="C28" s="15" t="s">
        <v>34</v>
      </c>
      <c r="D28" s="15" t="s">
        <v>33</v>
      </c>
      <c r="E28" s="15">
        <v>15</v>
      </c>
      <c r="F28" s="15"/>
      <c r="G28" s="16" t="s">
        <v>72</v>
      </c>
    </row>
    <row r="29" spans="1:7" ht="19.5" thickBot="1" x14ac:dyDescent="0.45">
      <c r="A29" s="6" t="s">
        <v>9</v>
      </c>
      <c r="B29" s="8" t="s">
        <v>45</v>
      </c>
      <c r="C29" s="7" t="s">
        <v>34</v>
      </c>
      <c r="D29" s="7" t="s">
        <v>33</v>
      </c>
      <c r="E29" s="7">
        <v>2</v>
      </c>
      <c r="F29" s="7">
        <v>1</v>
      </c>
      <c r="G29" s="8" t="s">
        <v>72</v>
      </c>
    </row>
    <row r="30" spans="1:7" x14ac:dyDescent="0.4">
      <c r="A30" s="6"/>
      <c r="B30" s="8" t="s">
        <v>209</v>
      </c>
      <c r="C30" s="7" t="s">
        <v>34</v>
      </c>
      <c r="D30" s="7" t="s">
        <v>33</v>
      </c>
      <c r="E30" s="7">
        <v>4</v>
      </c>
      <c r="F30" s="7">
        <v>4</v>
      </c>
      <c r="G30" s="8" t="s">
        <v>72</v>
      </c>
    </row>
    <row r="31" spans="1:7" ht="19.5" thickBot="1" x14ac:dyDescent="0.45">
      <c r="A31" s="11"/>
      <c r="B31" s="13" t="s">
        <v>202</v>
      </c>
      <c r="C31" s="12" t="s">
        <v>34</v>
      </c>
      <c r="D31" s="12" t="s">
        <v>33</v>
      </c>
      <c r="E31" s="12">
        <v>6</v>
      </c>
      <c r="F31" s="12">
        <v>6</v>
      </c>
      <c r="G31" s="13" t="s">
        <v>72</v>
      </c>
    </row>
    <row r="32" spans="1:7" x14ac:dyDescent="0.4">
      <c r="A32" s="6" t="s">
        <v>175</v>
      </c>
      <c r="B32" s="8" t="s">
        <v>177</v>
      </c>
      <c r="C32" s="7" t="s">
        <v>179</v>
      </c>
      <c r="D32" s="7" t="s">
        <v>180</v>
      </c>
      <c r="E32" s="7">
        <v>3</v>
      </c>
      <c r="F32" s="7">
        <v>3</v>
      </c>
      <c r="G32" s="8" t="s">
        <v>72</v>
      </c>
    </row>
    <row r="33" spans="1:7" x14ac:dyDescent="0.4">
      <c r="A33" s="9"/>
      <c r="B33" s="10" t="s">
        <v>176</v>
      </c>
      <c r="C33" t="s">
        <v>179</v>
      </c>
      <c r="D33" t="s">
        <v>180</v>
      </c>
      <c r="E33">
        <v>2</v>
      </c>
      <c r="F33">
        <v>2</v>
      </c>
      <c r="G33" s="10" t="s">
        <v>72</v>
      </c>
    </row>
    <row r="34" spans="1:7" x14ac:dyDescent="0.4">
      <c r="A34" s="9"/>
      <c r="B34" s="10" t="s">
        <v>207</v>
      </c>
      <c r="C34" t="s">
        <v>179</v>
      </c>
      <c r="D34" t="s">
        <v>180</v>
      </c>
      <c r="E34">
        <v>2</v>
      </c>
      <c r="F34">
        <v>2</v>
      </c>
      <c r="G34" s="10" t="s">
        <v>72</v>
      </c>
    </row>
    <row r="35" spans="1:7" x14ac:dyDescent="0.4">
      <c r="A35" s="9"/>
      <c r="B35" s="10" t="s">
        <v>208</v>
      </c>
      <c r="C35" t="s">
        <v>100</v>
      </c>
      <c r="D35" t="s">
        <v>62</v>
      </c>
      <c r="E35">
        <v>2</v>
      </c>
      <c r="F35">
        <v>2</v>
      </c>
      <c r="G35" s="10" t="s">
        <v>72</v>
      </c>
    </row>
    <row r="36" spans="1:7" x14ac:dyDescent="0.4">
      <c r="A36" s="9"/>
      <c r="B36" s="10" t="s">
        <v>210</v>
      </c>
      <c r="D36" t="s">
        <v>62</v>
      </c>
      <c r="E36">
        <v>2</v>
      </c>
      <c r="F36">
        <v>2</v>
      </c>
      <c r="G36" s="10" t="s">
        <v>72</v>
      </c>
    </row>
    <row r="37" spans="1:7" x14ac:dyDescent="0.4">
      <c r="A37" s="9"/>
      <c r="B37" s="10" t="s">
        <v>211</v>
      </c>
      <c r="D37" t="s">
        <v>62</v>
      </c>
      <c r="E37">
        <v>2</v>
      </c>
      <c r="F37">
        <v>2</v>
      </c>
      <c r="G37" s="10" t="s">
        <v>72</v>
      </c>
    </row>
    <row r="38" spans="1:7" ht="19.5" thickBot="1" x14ac:dyDescent="0.45">
      <c r="A38" s="11"/>
      <c r="B38" s="13" t="s">
        <v>178</v>
      </c>
      <c r="C38" s="12" t="s">
        <v>179</v>
      </c>
      <c r="D38" s="12" t="s">
        <v>180</v>
      </c>
      <c r="E38" s="12">
        <v>3</v>
      </c>
      <c r="F38" s="12">
        <v>3</v>
      </c>
      <c r="G38" s="13" t="s">
        <v>72</v>
      </c>
    </row>
    <row r="39" spans="1:7" x14ac:dyDescent="0.4">
      <c r="A39" s="9" t="s">
        <v>181</v>
      </c>
      <c r="B39" t="s">
        <v>182</v>
      </c>
      <c r="C39" s="9" t="s">
        <v>179</v>
      </c>
      <c r="D39" t="s">
        <v>180</v>
      </c>
      <c r="E39">
        <v>3</v>
      </c>
      <c r="F39">
        <v>3</v>
      </c>
      <c r="G39" s="10" t="s">
        <v>72</v>
      </c>
    </row>
    <row r="40" spans="1:7" x14ac:dyDescent="0.4">
      <c r="A40" s="9"/>
      <c r="B40" t="s">
        <v>183</v>
      </c>
      <c r="C40" s="9" t="s">
        <v>179</v>
      </c>
      <c r="D40" t="s">
        <v>180</v>
      </c>
      <c r="E40">
        <v>3</v>
      </c>
      <c r="F40">
        <v>3</v>
      </c>
      <c r="G40" s="10" t="s">
        <v>72</v>
      </c>
    </row>
    <row r="41" spans="1:7" x14ac:dyDescent="0.4">
      <c r="A41" s="9"/>
      <c r="B41" t="s">
        <v>184</v>
      </c>
      <c r="C41" s="9" t="s">
        <v>179</v>
      </c>
      <c r="D41" t="s">
        <v>180</v>
      </c>
      <c r="E41">
        <v>4</v>
      </c>
      <c r="F41">
        <v>3</v>
      </c>
      <c r="G41" s="10" t="s">
        <v>72</v>
      </c>
    </row>
    <row r="42" spans="1:7" x14ac:dyDescent="0.4">
      <c r="A42" s="9"/>
      <c r="B42" t="s">
        <v>185</v>
      </c>
      <c r="C42" s="9" t="s">
        <v>179</v>
      </c>
      <c r="D42" t="s">
        <v>180</v>
      </c>
      <c r="E42">
        <v>4</v>
      </c>
      <c r="F42">
        <v>3</v>
      </c>
      <c r="G42" s="10" t="s">
        <v>72</v>
      </c>
    </row>
    <row r="43" spans="1:7" x14ac:dyDescent="0.4">
      <c r="A43" s="9"/>
      <c r="B43" t="s">
        <v>192</v>
      </c>
      <c r="C43" s="9" t="s">
        <v>179</v>
      </c>
      <c r="D43" t="s">
        <v>180</v>
      </c>
      <c r="E43">
        <v>2</v>
      </c>
      <c r="F43">
        <v>3</v>
      </c>
      <c r="G43" s="10" t="s">
        <v>72</v>
      </c>
    </row>
    <row r="44" spans="1:7" x14ac:dyDescent="0.4">
      <c r="A44" s="9"/>
      <c r="B44" t="s">
        <v>193</v>
      </c>
      <c r="C44" s="9" t="s">
        <v>179</v>
      </c>
      <c r="D44" t="s">
        <v>180</v>
      </c>
      <c r="E44">
        <v>3</v>
      </c>
      <c r="F44">
        <v>1</v>
      </c>
      <c r="G44" s="10" t="s">
        <v>72</v>
      </c>
    </row>
    <row r="45" spans="1:7" x14ac:dyDescent="0.4">
      <c r="A45" s="9"/>
      <c r="B45" t="s">
        <v>194</v>
      </c>
      <c r="C45" s="9" t="s">
        <v>179</v>
      </c>
      <c r="D45" t="s">
        <v>180</v>
      </c>
      <c r="E45">
        <v>3</v>
      </c>
      <c r="F45">
        <v>1</v>
      </c>
      <c r="G45" s="10" t="s">
        <v>72</v>
      </c>
    </row>
    <row r="46" spans="1:7" x14ac:dyDescent="0.4">
      <c r="A46" s="9"/>
      <c r="B46" t="s">
        <v>195</v>
      </c>
      <c r="C46" s="9" t="s">
        <v>179</v>
      </c>
      <c r="D46" t="s">
        <v>180</v>
      </c>
      <c r="E46">
        <v>3</v>
      </c>
      <c r="F46">
        <v>2</v>
      </c>
      <c r="G46" s="10" t="s">
        <v>72</v>
      </c>
    </row>
    <row r="47" spans="1:7" x14ac:dyDescent="0.4">
      <c r="A47" s="9"/>
      <c r="B47" t="s">
        <v>196</v>
      </c>
      <c r="C47" s="9" t="s">
        <v>179</v>
      </c>
      <c r="D47" t="s">
        <v>180</v>
      </c>
      <c r="E47">
        <v>3</v>
      </c>
      <c r="F47">
        <v>2</v>
      </c>
      <c r="G47" s="10" t="s">
        <v>72</v>
      </c>
    </row>
    <row r="48" spans="1:7" x14ac:dyDescent="0.4">
      <c r="A48" s="9"/>
      <c r="C48" s="9" t="s">
        <v>179</v>
      </c>
      <c r="D48" t="s">
        <v>180</v>
      </c>
      <c r="G48" s="10"/>
    </row>
    <row r="49" spans="1:7" x14ac:dyDescent="0.4">
      <c r="A49" s="9"/>
      <c r="C49" s="9" t="s">
        <v>179</v>
      </c>
      <c r="D49" t="s">
        <v>180</v>
      </c>
      <c r="G49" s="10"/>
    </row>
    <row r="50" spans="1:7" ht="19.5" thickBot="1" x14ac:dyDescent="0.45">
      <c r="A50" s="11"/>
      <c r="B50" s="12"/>
      <c r="C50" s="11" t="s">
        <v>179</v>
      </c>
      <c r="D50" s="12" t="s">
        <v>180</v>
      </c>
      <c r="E50" s="12"/>
      <c r="F50" s="12"/>
      <c r="G50" s="13"/>
    </row>
    <row r="51" spans="1:7" x14ac:dyDescent="0.4">
      <c r="A51" s="9" t="s">
        <v>40</v>
      </c>
      <c r="B51" t="s">
        <v>1</v>
      </c>
      <c r="C51" s="9" t="s">
        <v>34</v>
      </c>
      <c r="D51" t="s">
        <v>33</v>
      </c>
      <c r="E51">
        <v>2</v>
      </c>
      <c r="F51">
        <v>2</v>
      </c>
      <c r="G51" s="10" t="s">
        <v>72</v>
      </c>
    </row>
    <row r="52" spans="1:7" x14ac:dyDescent="0.4">
      <c r="A52" s="9"/>
      <c r="B52" t="s">
        <v>46</v>
      </c>
      <c r="C52" s="9" t="s">
        <v>34</v>
      </c>
      <c r="D52" t="s">
        <v>33</v>
      </c>
      <c r="E52">
        <v>2</v>
      </c>
      <c r="F52">
        <v>2</v>
      </c>
      <c r="G52" s="10" t="s">
        <v>72</v>
      </c>
    </row>
    <row r="53" spans="1:7" x14ac:dyDescent="0.4">
      <c r="A53" s="9"/>
      <c r="B53" t="s">
        <v>47</v>
      </c>
      <c r="C53" s="9" t="s">
        <v>34</v>
      </c>
      <c r="D53" t="s">
        <v>33</v>
      </c>
      <c r="E53">
        <v>2</v>
      </c>
      <c r="G53" s="10" t="s">
        <v>72</v>
      </c>
    </row>
    <row r="54" spans="1:7" x14ac:dyDescent="0.4">
      <c r="A54" s="9"/>
      <c r="B54" t="s">
        <v>4</v>
      </c>
      <c r="C54" s="9" t="s">
        <v>34</v>
      </c>
      <c r="D54" t="s">
        <v>33</v>
      </c>
      <c r="E54">
        <v>2</v>
      </c>
      <c r="G54" s="10" t="s">
        <v>72</v>
      </c>
    </row>
    <row r="55" spans="1:7" ht="19.5" thickBot="1" x14ac:dyDescent="0.45">
      <c r="A55" s="11"/>
      <c r="B55" s="12" t="s">
        <v>3</v>
      </c>
      <c r="C55" s="11" t="s">
        <v>34</v>
      </c>
      <c r="D55" s="12" t="s">
        <v>33</v>
      </c>
      <c r="E55" s="12">
        <v>2</v>
      </c>
      <c r="F55" s="12"/>
      <c r="G55" s="13" t="s">
        <v>72</v>
      </c>
    </row>
    <row r="56" spans="1:7" x14ac:dyDescent="0.4">
      <c r="A56" s="9" t="s">
        <v>41</v>
      </c>
      <c r="B56" s="10" t="s">
        <v>41</v>
      </c>
      <c r="C56" t="s">
        <v>34</v>
      </c>
      <c r="D56" t="s">
        <v>64</v>
      </c>
      <c r="G56" s="10" t="s">
        <v>35</v>
      </c>
    </row>
    <row r="57" spans="1:7" ht="19.5" thickBot="1" x14ac:dyDescent="0.45">
      <c r="A57" s="11"/>
      <c r="B57" s="13" t="s">
        <v>69</v>
      </c>
      <c r="C57" s="12" t="s">
        <v>34</v>
      </c>
      <c r="D57" s="12" t="s">
        <v>64</v>
      </c>
      <c r="E57" s="12"/>
      <c r="F57" s="12"/>
      <c r="G57" s="13" t="s">
        <v>35</v>
      </c>
    </row>
    <row r="58" spans="1:7" x14ac:dyDescent="0.4">
      <c r="A58" s="6" t="s">
        <v>70</v>
      </c>
      <c r="B58" s="8" t="s">
        <v>71</v>
      </c>
      <c r="C58" s="7" t="s">
        <v>34</v>
      </c>
      <c r="D58" s="7" t="s">
        <v>66</v>
      </c>
      <c r="E58" s="7"/>
      <c r="F58" s="7"/>
      <c r="G58" s="8" t="s">
        <v>35</v>
      </c>
    </row>
    <row r="59" spans="1:7" ht="19.5" thickBot="1" x14ac:dyDescent="0.45">
      <c r="A59" s="11"/>
      <c r="B59" s="13" t="s">
        <v>69</v>
      </c>
      <c r="C59" s="12" t="s">
        <v>34</v>
      </c>
      <c r="D59" s="12" t="s">
        <v>66</v>
      </c>
      <c r="E59" s="12"/>
      <c r="F59" s="12"/>
      <c r="G59" s="13" t="s">
        <v>35</v>
      </c>
    </row>
    <row r="60" spans="1:7" x14ac:dyDescent="0.4">
      <c r="A60" s="6" t="s">
        <v>213</v>
      </c>
      <c r="B60" s="8" t="s">
        <v>214</v>
      </c>
      <c r="C60" s="7" t="s">
        <v>34</v>
      </c>
      <c r="D60" s="7" t="s">
        <v>212</v>
      </c>
      <c r="E60" s="7">
        <v>2</v>
      </c>
      <c r="F60" s="7"/>
      <c r="G60" s="8" t="s">
        <v>72</v>
      </c>
    </row>
    <row r="61" spans="1:7" x14ac:dyDescent="0.4">
      <c r="A61" s="9"/>
      <c r="B61" s="10" t="s">
        <v>216</v>
      </c>
      <c r="C61" t="s">
        <v>34</v>
      </c>
      <c r="D61" t="s">
        <v>212</v>
      </c>
      <c r="E61">
        <v>2</v>
      </c>
      <c r="G61" s="10" t="s">
        <v>72</v>
      </c>
    </row>
    <row r="62" spans="1:7" x14ac:dyDescent="0.4">
      <c r="A62" s="9"/>
      <c r="B62" s="10" t="s">
        <v>217</v>
      </c>
      <c r="C62" t="s">
        <v>34</v>
      </c>
      <c r="D62" t="s">
        <v>212</v>
      </c>
      <c r="E62">
        <v>2</v>
      </c>
      <c r="G62" s="10" t="s">
        <v>72</v>
      </c>
    </row>
    <row r="63" spans="1:7" x14ac:dyDescent="0.4">
      <c r="A63" s="9"/>
      <c r="B63" s="10" t="s">
        <v>215</v>
      </c>
      <c r="C63" t="s">
        <v>34</v>
      </c>
      <c r="D63" t="s">
        <v>212</v>
      </c>
      <c r="E63">
        <v>2</v>
      </c>
      <c r="G63" s="10" t="s">
        <v>72</v>
      </c>
    </row>
    <row r="64" spans="1:7" x14ac:dyDescent="0.4">
      <c r="A64" s="9"/>
      <c r="B64" s="10" t="s">
        <v>218</v>
      </c>
      <c r="C64" t="s">
        <v>34</v>
      </c>
      <c r="D64" t="s">
        <v>212</v>
      </c>
      <c r="E64">
        <v>2</v>
      </c>
      <c r="G64" s="10" t="s">
        <v>35</v>
      </c>
    </row>
    <row r="65" spans="1:7" x14ac:dyDescent="0.4">
      <c r="A65" s="9"/>
      <c r="B65" s="10" t="s">
        <v>219</v>
      </c>
      <c r="C65" t="s">
        <v>34</v>
      </c>
      <c r="D65" t="s">
        <v>212</v>
      </c>
      <c r="E65">
        <v>2</v>
      </c>
      <c r="G65" s="10" t="s">
        <v>72</v>
      </c>
    </row>
    <row r="66" spans="1:7" ht="19.5" thickBot="1" x14ac:dyDescent="0.45">
      <c r="A66" s="11"/>
      <c r="B66" s="13" t="s">
        <v>220</v>
      </c>
      <c r="C66" s="12" t="s">
        <v>34</v>
      </c>
      <c r="D66" s="12" t="s">
        <v>212</v>
      </c>
      <c r="E66" s="12">
        <v>2</v>
      </c>
      <c r="F66" s="12"/>
      <c r="G66" s="13" t="s">
        <v>72</v>
      </c>
    </row>
    <row r="67" spans="1:7" x14ac:dyDescent="0.4">
      <c r="A67" s="6" t="s">
        <v>221</v>
      </c>
      <c r="B67" s="8" t="s">
        <v>222</v>
      </c>
      <c r="C67" s="7" t="s">
        <v>34</v>
      </c>
      <c r="D67" s="7" t="s">
        <v>33</v>
      </c>
      <c r="E67" s="7">
        <v>1</v>
      </c>
      <c r="F67" s="7">
        <v>1</v>
      </c>
      <c r="G67" s="8" t="s">
        <v>72</v>
      </c>
    </row>
    <row r="68" spans="1:7" x14ac:dyDescent="0.4">
      <c r="A68" s="9"/>
      <c r="B68" s="10" t="s">
        <v>223</v>
      </c>
      <c r="C68" t="s">
        <v>34</v>
      </c>
      <c r="D68" t="s">
        <v>64</v>
      </c>
      <c r="E68">
        <v>8</v>
      </c>
      <c r="G68" s="10" t="s">
        <v>35</v>
      </c>
    </row>
    <row r="69" spans="1:7" ht="19.5" thickBot="1" x14ac:dyDescent="0.45">
      <c r="A69" s="11"/>
      <c r="B69" s="13" t="s">
        <v>224</v>
      </c>
      <c r="C69" s="12" t="s">
        <v>34</v>
      </c>
      <c r="D69" s="12" t="s">
        <v>64</v>
      </c>
      <c r="E69" s="12">
        <v>4</v>
      </c>
      <c r="F69" s="12"/>
      <c r="G69" s="13" t="s">
        <v>35</v>
      </c>
    </row>
    <row r="70" spans="1:7" x14ac:dyDescent="0.4">
      <c r="C70" t="s">
        <v>34</v>
      </c>
      <c r="D70" t="s">
        <v>33</v>
      </c>
      <c r="G70" t="s">
        <v>35</v>
      </c>
    </row>
    <row r="71" spans="1:7" x14ac:dyDescent="0.4">
      <c r="C71" t="s">
        <v>34</v>
      </c>
      <c r="D71" t="s">
        <v>33</v>
      </c>
      <c r="G71" t="s">
        <v>35</v>
      </c>
    </row>
    <row r="72" spans="1:7" x14ac:dyDescent="0.4">
      <c r="C72" t="s">
        <v>34</v>
      </c>
      <c r="D72" t="s">
        <v>33</v>
      </c>
      <c r="G72" t="s">
        <v>35</v>
      </c>
    </row>
    <row r="73" spans="1:7" x14ac:dyDescent="0.4">
      <c r="C73" t="s">
        <v>34</v>
      </c>
      <c r="D73" t="s">
        <v>33</v>
      </c>
      <c r="G73" t="s">
        <v>35</v>
      </c>
    </row>
    <row r="74" spans="1:7" x14ac:dyDescent="0.4">
      <c r="C74" t="s">
        <v>34</v>
      </c>
      <c r="D74" t="s">
        <v>33</v>
      </c>
      <c r="G74" t="s">
        <v>35</v>
      </c>
    </row>
    <row r="75" spans="1:7" x14ac:dyDescent="0.4">
      <c r="C75" t="s">
        <v>34</v>
      </c>
      <c r="D75" t="s">
        <v>33</v>
      </c>
      <c r="G75" t="s">
        <v>35</v>
      </c>
    </row>
    <row r="76" spans="1:7" x14ac:dyDescent="0.4">
      <c r="C76" t="s">
        <v>34</v>
      </c>
      <c r="D76" t="s">
        <v>33</v>
      </c>
      <c r="G76" t="s">
        <v>35</v>
      </c>
    </row>
    <row r="77" spans="1:7" x14ac:dyDescent="0.4">
      <c r="C77" t="s">
        <v>34</v>
      </c>
      <c r="D77" t="s">
        <v>33</v>
      </c>
      <c r="G77" t="s">
        <v>35</v>
      </c>
    </row>
    <row r="78" spans="1:7" x14ac:dyDescent="0.4">
      <c r="C78" t="s">
        <v>34</v>
      </c>
      <c r="D78" t="s">
        <v>33</v>
      </c>
      <c r="G78" t="s">
        <v>35</v>
      </c>
    </row>
    <row r="79" spans="1:7" x14ac:dyDescent="0.4">
      <c r="C79" t="s">
        <v>34</v>
      </c>
      <c r="D79" t="s">
        <v>33</v>
      </c>
      <c r="G79" t="s">
        <v>35</v>
      </c>
    </row>
    <row r="80" spans="1:7" x14ac:dyDescent="0.4">
      <c r="C80" t="s">
        <v>34</v>
      </c>
      <c r="D80" t="s">
        <v>33</v>
      </c>
      <c r="G80" t="s">
        <v>35</v>
      </c>
    </row>
    <row r="81" spans="3:7" x14ac:dyDescent="0.4">
      <c r="C81" t="s">
        <v>34</v>
      </c>
      <c r="D81" t="s">
        <v>33</v>
      </c>
      <c r="G81" t="s">
        <v>35</v>
      </c>
    </row>
    <row r="82" spans="3:7" x14ac:dyDescent="0.4">
      <c r="C82" t="s">
        <v>34</v>
      </c>
      <c r="D82" t="s">
        <v>33</v>
      </c>
      <c r="G82" t="s">
        <v>35</v>
      </c>
    </row>
    <row r="83" spans="3:7" x14ac:dyDescent="0.4">
      <c r="C83" t="s">
        <v>34</v>
      </c>
      <c r="D83" t="s">
        <v>33</v>
      </c>
      <c r="G83" t="s">
        <v>35</v>
      </c>
    </row>
    <row r="84" spans="3:7" x14ac:dyDescent="0.4">
      <c r="C84" t="s">
        <v>34</v>
      </c>
      <c r="D84" t="s">
        <v>33</v>
      </c>
      <c r="G84" t="s">
        <v>35</v>
      </c>
    </row>
    <row r="85" spans="3:7" x14ac:dyDescent="0.4">
      <c r="C85" t="s">
        <v>34</v>
      </c>
      <c r="D85" t="s">
        <v>33</v>
      </c>
      <c r="G85" t="s">
        <v>35</v>
      </c>
    </row>
    <row r="86" spans="3:7" x14ac:dyDescent="0.4">
      <c r="C86" t="s">
        <v>34</v>
      </c>
      <c r="D86" t="s">
        <v>33</v>
      </c>
      <c r="G86" t="s">
        <v>35</v>
      </c>
    </row>
    <row r="87" spans="3:7" x14ac:dyDescent="0.4">
      <c r="C87" t="s">
        <v>34</v>
      </c>
      <c r="D87" t="s">
        <v>33</v>
      </c>
      <c r="G87" t="s">
        <v>35</v>
      </c>
    </row>
    <row r="88" spans="3:7" x14ac:dyDescent="0.4">
      <c r="C88" t="s">
        <v>34</v>
      </c>
      <c r="D88" t="s">
        <v>33</v>
      </c>
      <c r="G88" t="s">
        <v>35</v>
      </c>
    </row>
    <row r="89" spans="3:7" x14ac:dyDescent="0.4">
      <c r="C89" t="s">
        <v>34</v>
      </c>
      <c r="D89" t="s">
        <v>33</v>
      </c>
      <c r="G89" t="s">
        <v>35</v>
      </c>
    </row>
    <row r="90" spans="3:7" x14ac:dyDescent="0.4">
      <c r="C90" t="s">
        <v>34</v>
      </c>
      <c r="D90" t="s">
        <v>33</v>
      </c>
      <c r="G90" t="s">
        <v>35</v>
      </c>
    </row>
    <row r="91" spans="3:7" x14ac:dyDescent="0.4">
      <c r="C91" t="s">
        <v>34</v>
      </c>
      <c r="D91" t="s">
        <v>33</v>
      </c>
      <c r="G91" t="s">
        <v>35</v>
      </c>
    </row>
    <row r="92" spans="3:7" x14ac:dyDescent="0.4">
      <c r="C92" t="s">
        <v>34</v>
      </c>
      <c r="D92" t="s">
        <v>33</v>
      </c>
      <c r="G92" t="s">
        <v>35</v>
      </c>
    </row>
    <row r="93" spans="3:7" x14ac:dyDescent="0.4">
      <c r="C93" t="s">
        <v>34</v>
      </c>
      <c r="D93" t="s">
        <v>33</v>
      </c>
      <c r="G93" t="s">
        <v>35</v>
      </c>
    </row>
    <row r="94" spans="3:7" x14ac:dyDescent="0.4">
      <c r="C94" t="s">
        <v>34</v>
      </c>
      <c r="D94" t="s">
        <v>33</v>
      </c>
      <c r="G94" t="s">
        <v>35</v>
      </c>
    </row>
    <row r="95" spans="3:7" x14ac:dyDescent="0.4">
      <c r="C95" t="s">
        <v>34</v>
      </c>
      <c r="D95" t="s">
        <v>33</v>
      </c>
      <c r="G95" t="s">
        <v>35</v>
      </c>
    </row>
    <row r="96" spans="3:7" x14ac:dyDescent="0.4">
      <c r="C96" t="s">
        <v>34</v>
      </c>
      <c r="D96" t="s">
        <v>33</v>
      </c>
      <c r="G96" t="s">
        <v>35</v>
      </c>
    </row>
    <row r="97" spans="3:7" x14ac:dyDescent="0.4">
      <c r="C97" t="s">
        <v>34</v>
      </c>
      <c r="D97" t="s">
        <v>33</v>
      </c>
      <c r="G97" t="s">
        <v>35</v>
      </c>
    </row>
    <row r="98" spans="3:7" x14ac:dyDescent="0.4">
      <c r="C98" t="s">
        <v>34</v>
      </c>
      <c r="D98" t="s">
        <v>33</v>
      </c>
      <c r="G98" t="s">
        <v>35</v>
      </c>
    </row>
    <row r="99" spans="3:7" x14ac:dyDescent="0.4">
      <c r="C99" t="s">
        <v>34</v>
      </c>
      <c r="D99" t="s">
        <v>33</v>
      </c>
      <c r="G99" t="s">
        <v>35</v>
      </c>
    </row>
    <row r="100" spans="3:7" x14ac:dyDescent="0.4">
      <c r="C100" t="s">
        <v>34</v>
      </c>
      <c r="D100" t="s">
        <v>33</v>
      </c>
      <c r="G100" t="s">
        <v>35</v>
      </c>
    </row>
    <row r="101" spans="3:7" x14ac:dyDescent="0.4">
      <c r="C101" t="s">
        <v>34</v>
      </c>
      <c r="D101" t="s">
        <v>33</v>
      </c>
      <c r="G101" t="s">
        <v>35</v>
      </c>
    </row>
    <row r="102" spans="3:7" x14ac:dyDescent="0.4">
      <c r="C102" t="s">
        <v>34</v>
      </c>
      <c r="D102" t="s">
        <v>33</v>
      </c>
      <c r="G102" t="s">
        <v>35</v>
      </c>
    </row>
    <row r="103" spans="3:7" x14ac:dyDescent="0.4">
      <c r="C103" t="s">
        <v>34</v>
      </c>
      <c r="D103" t="s">
        <v>33</v>
      </c>
      <c r="G103" t="s">
        <v>35</v>
      </c>
    </row>
    <row r="104" spans="3:7" x14ac:dyDescent="0.4">
      <c r="C104" t="s">
        <v>34</v>
      </c>
      <c r="D104" t="s">
        <v>33</v>
      </c>
      <c r="G104" t="s">
        <v>35</v>
      </c>
    </row>
    <row r="105" spans="3:7" x14ac:dyDescent="0.4">
      <c r="C105" t="s">
        <v>34</v>
      </c>
      <c r="D105" t="s">
        <v>33</v>
      </c>
      <c r="G105" t="s">
        <v>35</v>
      </c>
    </row>
    <row r="106" spans="3:7" x14ac:dyDescent="0.4">
      <c r="C106" t="s">
        <v>34</v>
      </c>
      <c r="D106" t="s">
        <v>33</v>
      </c>
      <c r="G106" t="s">
        <v>35</v>
      </c>
    </row>
    <row r="107" spans="3:7" x14ac:dyDescent="0.4">
      <c r="C107" t="s">
        <v>34</v>
      </c>
      <c r="D107" t="s">
        <v>33</v>
      </c>
      <c r="G107" t="s">
        <v>35</v>
      </c>
    </row>
  </sheetData>
  <autoFilter ref="A3:G107" xr:uid="{3ABA19D7-703C-4BDA-ABBE-D42092489F0E}"/>
  <phoneticPr fontId="1"/>
  <dataValidations count="3">
    <dataValidation type="list" allowBlank="1" showInputMessage="1" showErrorMessage="1" sqref="G4:G47 G51:G107" xr:uid="{05F1DF74-5C3A-4656-9180-8CB2E572755F}">
      <formula1>"未着手,作業中,完了"</formula1>
    </dataValidation>
    <dataValidation type="list" allowBlank="1" showInputMessage="1" showErrorMessage="1" sqref="C4:C31 C51:C107" xr:uid="{02D66180-7540-49E9-8878-4AAA7C63EEA4}">
      <formula1>"C,B,A,S"</formula1>
    </dataValidation>
    <dataValidation type="list" allowBlank="1" showInputMessage="1" showErrorMessage="1" sqref="D4:D31 D51:D107" xr:uid="{485BBF23-C878-4534-89D7-53615FBE9943}">
      <formula1>"プロト,アルファ,ベータ,マスター"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90A7-C149-4E5C-87DE-7BE02A71DC09}">
  <dimension ref="A1:L23"/>
  <sheetViews>
    <sheetView workbookViewId="0">
      <selection activeCell="B23" sqref="B23"/>
    </sheetView>
  </sheetViews>
  <sheetFormatPr defaultRowHeight="18.75" x14ac:dyDescent="0.4"/>
  <cols>
    <col min="1" max="1" width="10.75" customWidth="1"/>
    <col min="2" max="2" width="76.875" bestFit="1" customWidth="1"/>
    <col min="3" max="3" width="9.875" customWidth="1"/>
    <col min="4" max="4" width="11" bestFit="1" customWidth="1"/>
    <col min="5" max="5" width="29.375" bestFit="1" customWidth="1"/>
    <col min="7" max="7" width="10.875" customWidth="1"/>
    <col min="8" max="8" width="31.25" bestFit="1" customWidth="1"/>
    <col min="9" max="9" width="11" bestFit="1" customWidth="1"/>
    <col min="11" max="11" width="23.25" bestFit="1" customWidth="1"/>
    <col min="12" max="12" width="11" bestFit="1" customWidth="1"/>
  </cols>
  <sheetData>
    <row r="1" spans="1:12" x14ac:dyDescent="0.4">
      <c r="A1" t="s">
        <v>225</v>
      </c>
      <c r="G1" t="s">
        <v>243</v>
      </c>
      <c r="K1" t="s">
        <v>244</v>
      </c>
    </row>
    <row r="2" spans="1:12" x14ac:dyDescent="0.4">
      <c r="A2" t="s">
        <v>236</v>
      </c>
      <c r="B2" t="s">
        <v>237</v>
      </c>
      <c r="C2" t="s">
        <v>27</v>
      </c>
      <c r="D2" t="s">
        <v>238</v>
      </c>
      <c r="E2" t="s">
        <v>256</v>
      </c>
      <c r="G2" t="s">
        <v>236</v>
      </c>
      <c r="H2" t="s">
        <v>239</v>
      </c>
      <c r="I2" t="s">
        <v>238</v>
      </c>
      <c r="K2" t="s">
        <v>237</v>
      </c>
      <c r="L2" t="s">
        <v>238</v>
      </c>
    </row>
    <row r="3" spans="1:12" x14ac:dyDescent="0.4">
      <c r="A3" s="47">
        <v>46221</v>
      </c>
      <c r="B3" t="s">
        <v>226</v>
      </c>
      <c r="C3" t="s">
        <v>101</v>
      </c>
      <c r="D3" s="47">
        <v>46221</v>
      </c>
      <c r="E3" s="47"/>
      <c r="G3" s="47">
        <v>46221</v>
      </c>
      <c r="H3" t="s">
        <v>240</v>
      </c>
      <c r="K3" t="s">
        <v>245</v>
      </c>
    </row>
    <row r="4" spans="1:12" x14ac:dyDescent="0.4">
      <c r="B4" t="s">
        <v>227</v>
      </c>
      <c r="C4" t="s">
        <v>101</v>
      </c>
      <c r="D4" s="47">
        <v>46221</v>
      </c>
      <c r="E4" s="47"/>
      <c r="H4" t="s">
        <v>241</v>
      </c>
      <c r="K4" t="s">
        <v>246</v>
      </c>
    </row>
    <row r="5" spans="1:12" x14ac:dyDescent="0.4">
      <c r="B5" t="s">
        <v>228</v>
      </c>
      <c r="C5" t="s">
        <v>101</v>
      </c>
      <c r="D5" s="47">
        <v>46225</v>
      </c>
      <c r="H5" t="s">
        <v>242</v>
      </c>
      <c r="K5" t="s">
        <v>247</v>
      </c>
    </row>
    <row r="6" spans="1:12" x14ac:dyDescent="0.4">
      <c r="B6" t="s">
        <v>229</v>
      </c>
      <c r="C6" t="s">
        <v>102</v>
      </c>
      <c r="K6" t="s">
        <v>248</v>
      </c>
    </row>
    <row r="7" spans="1:12" x14ac:dyDescent="0.4">
      <c r="B7" t="s">
        <v>230</v>
      </c>
      <c r="C7" t="s">
        <v>102</v>
      </c>
      <c r="K7" t="s">
        <v>249</v>
      </c>
    </row>
    <row r="8" spans="1:12" x14ac:dyDescent="0.4">
      <c r="B8" t="s">
        <v>231</v>
      </c>
      <c r="C8" t="s">
        <v>264</v>
      </c>
      <c r="K8" t="s">
        <v>250</v>
      </c>
    </row>
    <row r="9" spans="1:12" x14ac:dyDescent="0.4">
      <c r="B9" t="s">
        <v>232</v>
      </c>
      <c r="C9" t="s">
        <v>101</v>
      </c>
      <c r="D9" s="47">
        <v>46226</v>
      </c>
      <c r="K9" t="s">
        <v>251</v>
      </c>
    </row>
    <row r="10" spans="1:12" x14ac:dyDescent="0.4">
      <c r="B10" t="s">
        <v>233</v>
      </c>
      <c r="C10" t="s">
        <v>100</v>
      </c>
    </row>
    <row r="11" spans="1:12" x14ac:dyDescent="0.4">
      <c r="B11" t="s">
        <v>234</v>
      </c>
      <c r="C11" t="s">
        <v>265</v>
      </c>
      <c r="D11" s="47">
        <v>46225</v>
      </c>
    </row>
    <row r="12" spans="1:12" x14ac:dyDescent="0.4">
      <c r="B12" t="s">
        <v>235</v>
      </c>
      <c r="C12" t="s">
        <v>264</v>
      </c>
    </row>
    <row r="13" spans="1:12" x14ac:dyDescent="0.4">
      <c r="B13" t="s">
        <v>252</v>
      </c>
      <c r="C13" t="s">
        <v>102</v>
      </c>
    </row>
    <row r="14" spans="1:12" x14ac:dyDescent="0.4">
      <c r="B14" t="s">
        <v>253</v>
      </c>
      <c r="C14" t="s">
        <v>101</v>
      </c>
      <c r="D14" s="47">
        <v>46221</v>
      </c>
      <c r="E14" s="47"/>
    </row>
    <row r="15" spans="1:12" x14ac:dyDescent="0.4">
      <c r="B15" t="s">
        <v>254</v>
      </c>
      <c r="C15" t="s">
        <v>101</v>
      </c>
      <c r="D15" s="47">
        <v>46221</v>
      </c>
      <c r="E15" s="47"/>
    </row>
    <row r="16" spans="1:12" x14ac:dyDescent="0.4">
      <c r="B16" t="s">
        <v>255</v>
      </c>
      <c r="C16" t="s">
        <v>266</v>
      </c>
    </row>
    <row r="17" spans="1:4" x14ac:dyDescent="0.4">
      <c r="A17" s="47">
        <v>46224</v>
      </c>
      <c r="B17" t="s">
        <v>257</v>
      </c>
      <c r="C17" t="s">
        <v>101</v>
      </c>
    </row>
    <row r="18" spans="1:4" x14ac:dyDescent="0.4">
      <c r="B18" t="s">
        <v>258</v>
      </c>
      <c r="C18" t="s">
        <v>101</v>
      </c>
      <c r="D18" s="47">
        <v>46224</v>
      </c>
    </row>
    <row r="19" spans="1:4" x14ac:dyDescent="0.4">
      <c r="B19" t="s">
        <v>259</v>
      </c>
      <c r="C19" t="s">
        <v>100</v>
      </c>
      <c r="D19" s="47">
        <v>46226</v>
      </c>
    </row>
    <row r="20" spans="1:4" x14ac:dyDescent="0.4">
      <c r="A20" s="47">
        <v>46225</v>
      </c>
      <c r="B20" t="s">
        <v>260</v>
      </c>
      <c r="C20" t="s">
        <v>265</v>
      </c>
    </row>
    <row r="21" spans="1:4" x14ac:dyDescent="0.4">
      <c r="B21" t="s">
        <v>267</v>
      </c>
      <c r="C21" t="s">
        <v>265</v>
      </c>
    </row>
    <row r="22" spans="1:4" x14ac:dyDescent="0.4">
      <c r="B22" t="s">
        <v>268</v>
      </c>
      <c r="C22" t="s">
        <v>270</v>
      </c>
    </row>
    <row r="23" spans="1:4" x14ac:dyDescent="0.4">
      <c r="B23" t="s">
        <v>269</v>
      </c>
      <c r="C23" t="s">
        <v>264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A7F07-4822-4AA8-B3C3-66F7A08D4E6E}">
  <dimension ref="A2:I36"/>
  <sheetViews>
    <sheetView topLeftCell="A17" workbookViewId="0">
      <selection activeCell="K31" sqref="K31"/>
    </sheetView>
  </sheetViews>
  <sheetFormatPr defaultRowHeight="18.75" x14ac:dyDescent="0.4"/>
  <sheetData>
    <row r="2" spans="2:8" x14ac:dyDescent="0.4">
      <c r="D2" t="s">
        <v>62</v>
      </c>
      <c r="E2" t="s">
        <v>63</v>
      </c>
      <c r="F2" t="s">
        <v>65</v>
      </c>
      <c r="G2" t="s">
        <v>67</v>
      </c>
      <c r="H2" t="s">
        <v>68</v>
      </c>
    </row>
    <row r="3" spans="2:8" ht="19.5" thickBot="1" x14ac:dyDescent="0.45">
      <c r="D3" s="17"/>
      <c r="E3" s="18"/>
      <c r="F3" s="19"/>
      <c r="G3" s="20"/>
      <c r="H3" s="21"/>
    </row>
    <row r="4" spans="2:8" ht="19.5" thickBot="1" x14ac:dyDescent="0.45">
      <c r="B4" s="5" t="s">
        <v>50</v>
      </c>
    </row>
    <row r="5" spans="2:8" ht="19.5" thickBot="1" x14ac:dyDescent="0.45">
      <c r="B5" s="14" t="s">
        <v>57</v>
      </c>
      <c r="C5" s="15" t="s">
        <v>51</v>
      </c>
      <c r="D5" s="15" t="s">
        <v>52</v>
      </c>
      <c r="E5" s="15" t="s">
        <v>53</v>
      </c>
      <c r="F5" s="15" t="s">
        <v>54</v>
      </c>
      <c r="G5" s="15" t="s">
        <v>55</v>
      </c>
      <c r="H5" s="16" t="s">
        <v>56</v>
      </c>
    </row>
    <row r="6" spans="2:8" x14ac:dyDescent="0.4">
      <c r="B6" s="9"/>
      <c r="G6">
        <v>1</v>
      </c>
      <c r="H6" s="10">
        <v>2</v>
      </c>
    </row>
    <row r="7" spans="2:8" x14ac:dyDescent="0.4">
      <c r="B7" s="9">
        <v>3</v>
      </c>
      <c r="C7">
        <v>4</v>
      </c>
      <c r="D7">
        <v>5</v>
      </c>
      <c r="E7">
        <v>6</v>
      </c>
      <c r="F7">
        <v>7</v>
      </c>
      <c r="G7">
        <v>8</v>
      </c>
      <c r="H7" s="10">
        <v>9</v>
      </c>
    </row>
    <row r="8" spans="2:8" x14ac:dyDescent="0.4">
      <c r="B8" s="9">
        <v>10</v>
      </c>
      <c r="C8">
        <v>11</v>
      </c>
      <c r="D8">
        <v>12</v>
      </c>
      <c r="E8">
        <v>13</v>
      </c>
      <c r="F8">
        <v>14</v>
      </c>
      <c r="G8">
        <v>15</v>
      </c>
      <c r="H8" s="10">
        <v>16</v>
      </c>
    </row>
    <row r="9" spans="2:8" x14ac:dyDescent="0.4">
      <c r="B9" s="9">
        <v>17</v>
      </c>
      <c r="C9">
        <v>18</v>
      </c>
      <c r="D9">
        <v>19</v>
      </c>
      <c r="E9">
        <v>20</v>
      </c>
      <c r="F9">
        <v>21</v>
      </c>
      <c r="G9">
        <v>22</v>
      </c>
      <c r="H9" s="10">
        <v>23</v>
      </c>
    </row>
    <row r="10" spans="2:8" x14ac:dyDescent="0.4">
      <c r="B10" s="9">
        <v>24</v>
      </c>
      <c r="C10">
        <v>25</v>
      </c>
      <c r="D10">
        <v>26</v>
      </c>
      <c r="E10">
        <v>27</v>
      </c>
      <c r="F10">
        <v>28</v>
      </c>
      <c r="G10">
        <v>29</v>
      </c>
      <c r="H10" s="10">
        <v>30</v>
      </c>
    </row>
    <row r="11" spans="2:8" ht="19.5" thickBot="1" x14ac:dyDescent="0.45">
      <c r="B11" s="11">
        <v>31</v>
      </c>
      <c r="C11" s="12"/>
      <c r="D11" s="12"/>
      <c r="E11" s="12"/>
      <c r="F11" s="12"/>
      <c r="G11" s="12"/>
      <c r="H11" s="13"/>
    </row>
    <row r="12" spans="2:8" ht="19.5" thickBot="1" x14ac:dyDescent="0.45">
      <c r="B12" s="4" t="s">
        <v>58</v>
      </c>
    </row>
    <row r="13" spans="2:8" ht="19.5" thickBot="1" x14ac:dyDescent="0.45">
      <c r="B13" s="6" t="s">
        <v>57</v>
      </c>
      <c r="C13" s="7" t="s">
        <v>51</v>
      </c>
      <c r="D13" s="7" t="s">
        <v>52</v>
      </c>
      <c r="E13" s="7" t="s">
        <v>53</v>
      </c>
      <c r="F13" s="7" t="s">
        <v>54</v>
      </c>
      <c r="G13" s="7" t="s">
        <v>55</v>
      </c>
      <c r="H13" s="8" t="s">
        <v>56</v>
      </c>
    </row>
    <row r="14" spans="2:8" x14ac:dyDescent="0.4">
      <c r="B14" s="28"/>
      <c r="C14" s="36">
        <v>1</v>
      </c>
      <c r="D14" s="36">
        <v>2</v>
      </c>
      <c r="E14" s="36">
        <v>3</v>
      </c>
      <c r="F14" s="36">
        <v>4</v>
      </c>
      <c r="G14" s="36">
        <v>5</v>
      </c>
      <c r="H14" s="37">
        <v>6</v>
      </c>
    </row>
    <row r="15" spans="2:8" x14ac:dyDescent="0.4">
      <c r="B15" s="38">
        <v>7</v>
      </c>
      <c r="C15" s="23">
        <v>8</v>
      </c>
      <c r="D15" s="23">
        <v>9</v>
      </c>
      <c r="E15" s="23">
        <v>10</v>
      </c>
      <c r="F15" s="23">
        <v>11</v>
      </c>
      <c r="G15" s="23">
        <v>12</v>
      </c>
      <c r="H15" s="44">
        <v>13</v>
      </c>
    </row>
    <row r="16" spans="2:8" x14ac:dyDescent="0.4">
      <c r="B16" s="38">
        <v>14</v>
      </c>
      <c r="C16" s="23">
        <v>15</v>
      </c>
      <c r="D16" s="23">
        <v>16</v>
      </c>
      <c r="E16" s="23">
        <v>17</v>
      </c>
      <c r="F16" s="23">
        <v>18</v>
      </c>
      <c r="G16" s="23">
        <v>19</v>
      </c>
      <c r="H16" s="44">
        <v>20</v>
      </c>
    </row>
    <row r="17" spans="1:9" x14ac:dyDescent="0.4">
      <c r="B17" s="38">
        <v>21</v>
      </c>
      <c r="C17" s="23">
        <v>22</v>
      </c>
      <c r="D17" s="23">
        <v>23</v>
      </c>
      <c r="E17" s="23">
        <v>24</v>
      </c>
      <c r="F17" s="23">
        <v>25</v>
      </c>
      <c r="G17" s="23">
        <v>26</v>
      </c>
      <c r="H17" s="44">
        <v>27</v>
      </c>
    </row>
    <row r="18" spans="1:9" ht="19.5" thickBot="1" x14ac:dyDescent="0.45">
      <c r="B18" s="45">
        <v>28</v>
      </c>
      <c r="C18" s="46">
        <v>29</v>
      </c>
      <c r="D18" s="46">
        <v>30</v>
      </c>
      <c r="E18" s="34"/>
      <c r="F18" s="34"/>
      <c r="G18" s="34"/>
      <c r="H18" s="35"/>
    </row>
    <row r="19" spans="1:9" ht="19.5" thickBot="1" x14ac:dyDescent="0.45">
      <c r="B19" s="22" t="s">
        <v>59</v>
      </c>
    </row>
    <row r="20" spans="1:9" ht="19.5" thickBot="1" x14ac:dyDescent="0.45">
      <c r="B20" s="6" t="s">
        <v>57</v>
      </c>
      <c r="C20" s="7" t="s">
        <v>51</v>
      </c>
      <c r="D20" s="7" t="s">
        <v>52</v>
      </c>
      <c r="E20" s="7" t="s">
        <v>53</v>
      </c>
      <c r="F20" s="7" t="s">
        <v>54</v>
      </c>
      <c r="G20" s="7" t="s">
        <v>55</v>
      </c>
      <c r="H20" s="8" t="s">
        <v>56</v>
      </c>
    </row>
    <row r="21" spans="1:9" x14ac:dyDescent="0.4">
      <c r="B21" s="28"/>
      <c r="C21" s="29"/>
      <c r="D21" s="29"/>
      <c r="E21" s="36">
        <v>1</v>
      </c>
      <c r="F21" s="36">
        <v>2</v>
      </c>
      <c r="G21" s="36">
        <v>3</v>
      </c>
      <c r="H21" s="37">
        <v>4</v>
      </c>
    </row>
    <row r="22" spans="1:9" x14ac:dyDescent="0.4">
      <c r="B22" s="38">
        <v>5</v>
      </c>
      <c r="C22" s="23">
        <v>6</v>
      </c>
      <c r="D22" s="23">
        <v>7</v>
      </c>
      <c r="E22" s="23">
        <v>8</v>
      </c>
      <c r="F22" s="25">
        <v>9</v>
      </c>
      <c r="G22" s="25">
        <v>10</v>
      </c>
      <c r="H22" s="39">
        <v>11</v>
      </c>
    </row>
    <row r="23" spans="1:9" x14ac:dyDescent="0.4">
      <c r="A23" t="s">
        <v>203</v>
      </c>
      <c r="B23" s="48">
        <v>12</v>
      </c>
      <c r="C23" s="49">
        <v>13</v>
      </c>
      <c r="D23" s="49">
        <v>14</v>
      </c>
      <c r="E23" s="25">
        <v>15</v>
      </c>
      <c r="F23" s="25">
        <v>16</v>
      </c>
      <c r="G23" s="25">
        <v>17</v>
      </c>
      <c r="H23" s="39">
        <v>18</v>
      </c>
    </row>
    <row r="24" spans="1:9" x14ac:dyDescent="0.4">
      <c r="B24" s="40">
        <v>19</v>
      </c>
      <c r="C24" s="25">
        <v>20</v>
      </c>
      <c r="D24" s="25">
        <v>21</v>
      </c>
      <c r="E24" s="25">
        <v>22</v>
      </c>
      <c r="F24" s="25">
        <v>23</v>
      </c>
      <c r="G24" s="51">
        <v>24</v>
      </c>
      <c r="H24" s="39">
        <v>25</v>
      </c>
      <c r="I24" t="s">
        <v>271</v>
      </c>
    </row>
    <row r="25" spans="1:9" ht="19.5" thickBot="1" x14ac:dyDescent="0.45">
      <c r="B25" s="41">
        <v>26</v>
      </c>
      <c r="C25" s="42">
        <v>27</v>
      </c>
      <c r="D25" s="42">
        <v>28</v>
      </c>
      <c r="E25" s="42">
        <v>29</v>
      </c>
      <c r="F25" s="43">
        <v>30</v>
      </c>
      <c r="G25" s="43">
        <v>31</v>
      </c>
      <c r="H25" s="35"/>
    </row>
    <row r="26" spans="1:9" ht="19.5" thickBot="1" x14ac:dyDescent="0.45">
      <c r="B26" s="24" t="s">
        <v>60</v>
      </c>
    </row>
    <row r="27" spans="1:9" ht="19.5" thickBot="1" x14ac:dyDescent="0.45">
      <c r="B27" s="6" t="s">
        <v>57</v>
      </c>
      <c r="C27" s="7" t="s">
        <v>51</v>
      </c>
      <c r="D27" s="7" t="s">
        <v>52</v>
      </c>
      <c r="E27" s="7" t="s">
        <v>53</v>
      </c>
      <c r="F27" s="7" t="s">
        <v>54</v>
      </c>
      <c r="G27" s="7" t="s">
        <v>55</v>
      </c>
      <c r="H27" s="8" t="s">
        <v>56</v>
      </c>
    </row>
    <row r="28" spans="1:9" x14ac:dyDescent="0.4">
      <c r="B28" s="28"/>
      <c r="C28" s="29"/>
      <c r="D28" s="29"/>
      <c r="E28" s="29"/>
      <c r="F28" s="29"/>
      <c r="G28" s="29"/>
      <c r="H28" s="30">
        <v>1</v>
      </c>
    </row>
    <row r="29" spans="1:9" x14ac:dyDescent="0.4">
      <c r="B29" s="31">
        <v>2</v>
      </c>
      <c r="C29" s="26">
        <v>3</v>
      </c>
      <c r="D29" s="26">
        <v>4</v>
      </c>
      <c r="E29" s="26">
        <v>5</v>
      </c>
      <c r="F29" s="26">
        <v>6</v>
      </c>
      <c r="G29" s="26">
        <v>7</v>
      </c>
      <c r="H29" s="32">
        <v>8</v>
      </c>
    </row>
    <row r="30" spans="1:9" x14ac:dyDescent="0.4">
      <c r="B30" s="31">
        <v>9</v>
      </c>
      <c r="C30" s="55">
        <v>10</v>
      </c>
      <c r="D30" s="55">
        <v>11</v>
      </c>
      <c r="E30" s="55">
        <v>12</v>
      </c>
      <c r="F30" s="55">
        <v>13</v>
      </c>
      <c r="G30" s="49">
        <v>14</v>
      </c>
      <c r="H30" s="50">
        <v>15</v>
      </c>
      <c r="I30" t="s">
        <v>261</v>
      </c>
    </row>
    <row r="31" spans="1:9" x14ac:dyDescent="0.4">
      <c r="B31" s="56">
        <v>16</v>
      </c>
      <c r="C31" s="55">
        <v>17</v>
      </c>
      <c r="D31" s="55">
        <v>18</v>
      </c>
      <c r="E31" s="55">
        <v>19</v>
      </c>
      <c r="F31" s="49">
        <v>20</v>
      </c>
      <c r="G31" s="55">
        <v>21</v>
      </c>
      <c r="H31" s="57">
        <v>22</v>
      </c>
      <c r="I31" t="s">
        <v>262</v>
      </c>
    </row>
    <row r="32" spans="1:9" x14ac:dyDescent="0.4">
      <c r="B32" s="56">
        <v>23</v>
      </c>
      <c r="C32" s="49">
        <v>24</v>
      </c>
      <c r="D32" s="49">
        <v>25</v>
      </c>
      <c r="E32" s="49">
        <v>26</v>
      </c>
      <c r="F32" s="49">
        <v>27</v>
      </c>
      <c r="G32" s="49">
        <v>28</v>
      </c>
      <c r="H32" s="33">
        <v>29</v>
      </c>
      <c r="I32" t="s">
        <v>263</v>
      </c>
    </row>
    <row r="33" spans="2:8" ht="19.5" thickBot="1" x14ac:dyDescent="0.45">
      <c r="B33" s="52">
        <v>30</v>
      </c>
      <c r="C33" s="53">
        <v>31</v>
      </c>
      <c r="D33" s="34"/>
      <c r="E33" s="34"/>
      <c r="F33" s="34"/>
      <c r="G33" s="34"/>
      <c r="H33" s="35"/>
    </row>
    <row r="34" spans="2:8" ht="19.5" thickBot="1" x14ac:dyDescent="0.45">
      <c r="B34" s="24" t="s">
        <v>61</v>
      </c>
    </row>
    <row r="35" spans="2:8" ht="19.5" thickBot="1" x14ac:dyDescent="0.45">
      <c r="B35" s="6" t="s">
        <v>57</v>
      </c>
      <c r="C35" s="7" t="s">
        <v>51</v>
      </c>
      <c r="D35" s="7" t="s">
        <v>52</v>
      </c>
      <c r="E35" s="7" t="s">
        <v>53</v>
      </c>
      <c r="F35" s="7" t="s">
        <v>54</v>
      </c>
      <c r="G35" s="7" t="s">
        <v>55</v>
      </c>
      <c r="H35" s="8" t="s">
        <v>56</v>
      </c>
    </row>
    <row r="36" spans="2:8" ht="19.5" thickBot="1" x14ac:dyDescent="0.45">
      <c r="B36" s="1"/>
      <c r="C36" s="2"/>
      <c r="D36" s="54">
        <v>1</v>
      </c>
      <c r="E36" s="54">
        <v>2</v>
      </c>
      <c r="F36" s="27">
        <v>3</v>
      </c>
      <c r="G36" s="2"/>
      <c r="H36" s="3"/>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12B8F-1C48-446B-B3CE-6022D8D4AF46}">
  <dimension ref="A1:B11"/>
  <sheetViews>
    <sheetView workbookViewId="0">
      <selection activeCell="C26" sqref="C26"/>
    </sheetView>
  </sheetViews>
  <sheetFormatPr defaultRowHeight="18.75" x14ac:dyDescent="0.4"/>
  <cols>
    <col min="1" max="1" width="21.25" bestFit="1" customWidth="1"/>
    <col min="2" max="2" width="17.75" bestFit="1" customWidth="1"/>
  </cols>
  <sheetData>
    <row r="1" spans="1:2" x14ac:dyDescent="0.4">
      <c r="A1" t="s">
        <v>15</v>
      </c>
      <c r="B1" t="s">
        <v>14</v>
      </c>
    </row>
    <row r="2" spans="1:2" x14ac:dyDescent="0.4">
      <c r="B2" t="s">
        <v>17</v>
      </c>
    </row>
    <row r="3" spans="1:2" x14ac:dyDescent="0.4">
      <c r="B3" t="s">
        <v>18</v>
      </c>
    </row>
    <row r="4" spans="1:2" x14ac:dyDescent="0.4">
      <c r="B4" t="s">
        <v>19</v>
      </c>
    </row>
    <row r="6" spans="1:2" x14ac:dyDescent="0.4">
      <c r="A6" t="s">
        <v>21</v>
      </c>
      <c r="B6" t="s">
        <v>20</v>
      </c>
    </row>
    <row r="7" spans="1:2" x14ac:dyDescent="0.4">
      <c r="B7" t="s">
        <v>16</v>
      </c>
    </row>
    <row r="9" spans="1:2" x14ac:dyDescent="0.4">
      <c r="B9" t="s">
        <v>22</v>
      </c>
    </row>
    <row r="10" spans="1:2" x14ac:dyDescent="0.4">
      <c r="B10" t="s">
        <v>23</v>
      </c>
    </row>
    <row r="11" spans="1:2" x14ac:dyDescent="0.4">
      <c r="B11" t="s">
        <v>24</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5AFA5-DA2E-4B9D-AA4F-6348B1D1D3C1}">
  <dimension ref="B2:P14"/>
  <sheetViews>
    <sheetView workbookViewId="0">
      <selection activeCell="M10" sqref="M10"/>
    </sheetView>
  </sheetViews>
  <sheetFormatPr defaultRowHeight="18.75" x14ac:dyDescent="0.4"/>
  <cols>
    <col min="2" max="2" width="13" bestFit="1" customWidth="1"/>
    <col min="3" max="3" width="19.125" bestFit="1" customWidth="1"/>
    <col min="4" max="5" width="13" bestFit="1" customWidth="1"/>
    <col min="9" max="9" width="19.25" bestFit="1" customWidth="1"/>
    <col min="10" max="11" width="15" bestFit="1" customWidth="1"/>
    <col min="12" max="12" width="17.25" customWidth="1"/>
  </cols>
  <sheetData>
    <row r="2" spans="2:16" x14ac:dyDescent="0.4">
      <c r="B2" t="s">
        <v>106</v>
      </c>
    </row>
    <row r="3" spans="2:16" x14ac:dyDescent="0.4">
      <c r="B3" t="s">
        <v>152</v>
      </c>
      <c r="I3" t="s">
        <v>110</v>
      </c>
      <c r="J3" t="s">
        <v>161</v>
      </c>
      <c r="K3" t="s">
        <v>162</v>
      </c>
      <c r="L3" t="s">
        <v>163</v>
      </c>
      <c r="M3" t="s">
        <v>164</v>
      </c>
    </row>
    <row r="4" spans="2:16" x14ac:dyDescent="0.4">
      <c r="B4" t="s">
        <v>1</v>
      </c>
      <c r="C4" t="s">
        <v>4</v>
      </c>
    </row>
    <row r="5" spans="2:16" x14ac:dyDescent="0.4">
      <c r="I5" t="s">
        <v>111</v>
      </c>
    </row>
    <row r="7" spans="2:16" x14ac:dyDescent="0.4">
      <c r="B7" t="s">
        <v>153</v>
      </c>
      <c r="D7" t="s">
        <v>155</v>
      </c>
      <c r="I7" t="s">
        <v>113</v>
      </c>
      <c r="N7" t="s">
        <v>112</v>
      </c>
      <c r="P7" t="s">
        <v>114</v>
      </c>
    </row>
    <row r="8" spans="2:16" x14ac:dyDescent="0.4">
      <c r="B8" t="s">
        <v>152</v>
      </c>
      <c r="D8" t="s">
        <v>152</v>
      </c>
    </row>
    <row r="9" spans="2:16" x14ac:dyDescent="0.4">
      <c r="B9" t="s">
        <v>117</v>
      </c>
      <c r="K9" t="s">
        <v>32</v>
      </c>
      <c r="M9" t="s">
        <v>165</v>
      </c>
    </row>
    <row r="10" spans="2:16" x14ac:dyDescent="0.4">
      <c r="B10" t="s">
        <v>7</v>
      </c>
    </row>
    <row r="11" spans="2:16" x14ac:dyDescent="0.4">
      <c r="B11" t="s">
        <v>43</v>
      </c>
      <c r="H11" t="s">
        <v>1</v>
      </c>
      <c r="J11" t="s">
        <v>4</v>
      </c>
    </row>
    <row r="12" spans="2:16" x14ac:dyDescent="0.4">
      <c r="B12" t="s">
        <v>48</v>
      </c>
    </row>
    <row r="13" spans="2:16" x14ac:dyDescent="0.4">
      <c r="B13" t="s">
        <v>154</v>
      </c>
      <c r="H13" t="s">
        <v>108</v>
      </c>
      <c r="J13" t="s">
        <v>109</v>
      </c>
    </row>
    <row r="14" spans="2:16" x14ac:dyDescent="0.4">
      <c r="B14" t="s">
        <v>87</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4C0C2-367A-48F7-A4B4-6D80F4D5CB06}">
  <dimension ref="A1:N22"/>
  <sheetViews>
    <sheetView workbookViewId="0">
      <selection activeCell="C20" sqref="C20"/>
    </sheetView>
  </sheetViews>
  <sheetFormatPr defaultRowHeight="18.75" x14ac:dyDescent="0.4"/>
  <cols>
    <col min="1" max="1" width="23.25" bestFit="1" customWidth="1"/>
    <col min="2" max="2" width="9.125" customWidth="1"/>
  </cols>
  <sheetData>
    <row r="1" spans="1:14" x14ac:dyDescent="0.4">
      <c r="A1" t="s">
        <v>115</v>
      </c>
    </row>
    <row r="3" spans="1:14" x14ac:dyDescent="0.4">
      <c r="A3" t="s">
        <v>116</v>
      </c>
    </row>
    <row r="4" spans="1:14" x14ac:dyDescent="0.4">
      <c r="A4" t="s">
        <v>117</v>
      </c>
    </row>
    <row r="5" spans="1:14" x14ac:dyDescent="0.4">
      <c r="A5" t="s">
        <v>7</v>
      </c>
    </row>
    <row r="6" spans="1:14" x14ac:dyDescent="0.4">
      <c r="A6" t="s">
        <v>43</v>
      </c>
    </row>
    <row r="7" spans="1:14" x14ac:dyDescent="0.4">
      <c r="A7" t="s">
        <v>48</v>
      </c>
    </row>
    <row r="9" spans="1:14" x14ac:dyDescent="0.4">
      <c r="A9" t="s">
        <v>89</v>
      </c>
      <c r="B9" t="s">
        <v>94</v>
      </c>
      <c r="E9" t="s">
        <v>118</v>
      </c>
    </row>
    <row r="10" spans="1:14" x14ac:dyDescent="0.4">
      <c r="A10" t="s">
        <v>90</v>
      </c>
      <c r="B10" t="s">
        <v>119</v>
      </c>
    </row>
    <row r="11" spans="1:14" x14ac:dyDescent="0.4">
      <c r="A11" t="s">
        <v>91</v>
      </c>
      <c r="B11" t="s">
        <v>120</v>
      </c>
    </row>
    <row r="12" spans="1:14" x14ac:dyDescent="0.4">
      <c r="A12" t="s">
        <v>92</v>
      </c>
      <c r="B12" t="s">
        <v>121</v>
      </c>
    </row>
    <row r="13" spans="1:14" x14ac:dyDescent="0.4">
      <c r="A13" t="s">
        <v>87</v>
      </c>
      <c r="B13" t="s">
        <v>119</v>
      </c>
      <c r="D13" t="s">
        <v>73</v>
      </c>
    </row>
    <row r="15" spans="1:14" x14ac:dyDescent="0.4">
      <c r="A15" t="s">
        <v>123</v>
      </c>
    </row>
    <row r="16" spans="1:14" x14ac:dyDescent="0.4">
      <c r="A16" t="s">
        <v>124</v>
      </c>
      <c r="E16" t="s">
        <v>130</v>
      </c>
      <c r="N16" t="s">
        <v>134</v>
      </c>
    </row>
    <row r="17" spans="1:14" x14ac:dyDescent="0.4">
      <c r="A17" t="s">
        <v>127</v>
      </c>
      <c r="E17" t="s">
        <v>131</v>
      </c>
      <c r="N17" t="s">
        <v>135</v>
      </c>
    </row>
    <row r="18" spans="1:14" x14ac:dyDescent="0.4">
      <c r="A18" t="s">
        <v>128</v>
      </c>
    </row>
    <row r="19" spans="1:14" x14ac:dyDescent="0.4">
      <c r="A19" t="s">
        <v>129</v>
      </c>
    </row>
    <row r="20" spans="1:14" x14ac:dyDescent="0.4">
      <c r="A20" t="s">
        <v>132</v>
      </c>
      <c r="C20" t="s">
        <v>160</v>
      </c>
    </row>
    <row r="21" spans="1:14" x14ac:dyDescent="0.4">
      <c r="A21" t="s">
        <v>136</v>
      </c>
      <c r="B21" t="s">
        <v>137</v>
      </c>
    </row>
    <row r="22" spans="1:14" x14ac:dyDescent="0.4">
      <c r="A22" t="s">
        <v>133</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AB97-61B1-41EB-8933-806BF4A80E1C}">
  <dimension ref="B1:T59"/>
  <sheetViews>
    <sheetView workbookViewId="0">
      <selection activeCell="W14" sqref="W14"/>
    </sheetView>
  </sheetViews>
  <sheetFormatPr defaultRowHeight="18.75" x14ac:dyDescent="0.4"/>
  <cols>
    <col min="1" max="1" width="9" customWidth="1"/>
  </cols>
  <sheetData>
    <row r="1" spans="2:20" ht="19.5" thickBot="1" x14ac:dyDescent="0.45"/>
    <row r="2" spans="2:20" x14ac:dyDescent="0.4">
      <c r="B2" s="6"/>
      <c r="C2" s="7"/>
      <c r="D2" s="7"/>
      <c r="E2" s="7"/>
      <c r="F2" s="7"/>
      <c r="G2" s="7"/>
      <c r="H2" s="7"/>
      <c r="I2" s="7"/>
      <c r="J2" s="7"/>
      <c r="K2" s="8"/>
      <c r="L2" t="s">
        <v>186</v>
      </c>
      <c r="O2" t="s">
        <v>204</v>
      </c>
    </row>
    <row r="3" spans="2:20" x14ac:dyDescent="0.4">
      <c r="B3" s="9"/>
      <c r="K3" s="10"/>
    </row>
    <row r="4" spans="2:20" x14ac:dyDescent="0.4">
      <c r="B4" s="9"/>
      <c r="G4" t="s">
        <v>187</v>
      </c>
      <c r="K4" s="10"/>
    </row>
    <row r="5" spans="2:20" x14ac:dyDescent="0.4">
      <c r="B5" s="9"/>
      <c r="C5" t="s">
        <v>188</v>
      </c>
      <c r="K5" s="10"/>
      <c r="P5" t="s">
        <v>205</v>
      </c>
    </row>
    <row r="6" spans="2:20" x14ac:dyDescent="0.4">
      <c r="B6" s="9"/>
      <c r="K6" s="10"/>
    </row>
    <row r="7" spans="2:20" x14ac:dyDescent="0.4">
      <c r="B7" s="9"/>
      <c r="K7" s="10"/>
    </row>
    <row r="8" spans="2:20" x14ac:dyDescent="0.4">
      <c r="B8" s="9"/>
      <c r="K8" s="10"/>
    </row>
    <row r="9" spans="2:20" x14ac:dyDescent="0.4">
      <c r="B9" s="9"/>
      <c r="I9" t="s">
        <v>2</v>
      </c>
      <c r="K9" s="10"/>
      <c r="O9" t="s">
        <v>43</v>
      </c>
      <c r="T9" t="s">
        <v>206</v>
      </c>
    </row>
    <row r="10" spans="2:20" x14ac:dyDescent="0.4">
      <c r="B10" s="9"/>
      <c r="K10" s="10"/>
    </row>
    <row r="11" spans="2:20" x14ac:dyDescent="0.4">
      <c r="B11" s="9"/>
      <c r="K11" s="10"/>
    </row>
    <row r="12" spans="2:20" x14ac:dyDescent="0.4">
      <c r="B12" s="9"/>
      <c r="K12" s="10"/>
    </row>
    <row r="13" spans="2:20" x14ac:dyDescent="0.4">
      <c r="B13" s="9"/>
      <c r="K13" s="10"/>
      <c r="S13" t="s">
        <v>8</v>
      </c>
    </row>
    <row r="14" spans="2:20" x14ac:dyDescent="0.4">
      <c r="B14" s="9"/>
      <c r="K14" s="10"/>
    </row>
    <row r="15" spans="2:20" x14ac:dyDescent="0.4">
      <c r="B15" s="9"/>
      <c r="K15" s="10"/>
    </row>
    <row r="16" spans="2:20" ht="19.5" thickBot="1" x14ac:dyDescent="0.45">
      <c r="B16" s="11"/>
      <c r="C16" s="12"/>
      <c r="D16" s="12"/>
      <c r="E16" s="12"/>
      <c r="F16" s="12"/>
      <c r="G16" s="12"/>
      <c r="H16" s="12"/>
      <c r="I16" s="12"/>
      <c r="J16" s="12"/>
      <c r="K16" s="13"/>
    </row>
    <row r="17" spans="2:12" ht="19.5" thickBot="1" x14ac:dyDescent="0.45"/>
    <row r="18" spans="2:12" x14ac:dyDescent="0.4">
      <c r="B18" s="6"/>
      <c r="C18" s="7"/>
      <c r="D18" s="7"/>
      <c r="E18" s="7"/>
      <c r="F18" s="7"/>
      <c r="G18" s="7"/>
      <c r="H18" s="7"/>
      <c r="I18" s="7"/>
      <c r="J18" s="7"/>
      <c r="K18" s="8"/>
      <c r="L18" t="s">
        <v>189</v>
      </c>
    </row>
    <row r="19" spans="2:12" x14ac:dyDescent="0.4">
      <c r="B19" s="9"/>
      <c r="K19" s="10"/>
    </row>
    <row r="20" spans="2:12" x14ac:dyDescent="0.4">
      <c r="B20" s="9"/>
      <c r="K20" s="10"/>
    </row>
    <row r="21" spans="2:12" x14ac:dyDescent="0.4">
      <c r="B21" s="9"/>
      <c r="K21" s="10"/>
    </row>
    <row r="22" spans="2:12" x14ac:dyDescent="0.4">
      <c r="B22" s="9"/>
      <c r="K22" s="10"/>
    </row>
    <row r="23" spans="2:12" x14ac:dyDescent="0.4">
      <c r="B23" s="9"/>
      <c r="K23" s="10"/>
    </row>
    <row r="24" spans="2:12" x14ac:dyDescent="0.4">
      <c r="B24" s="9"/>
      <c r="K24" s="10"/>
    </row>
    <row r="25" spans="2:12" x14ac:dyDescent="0.4">
      <c r="B25" s="9"/>
      <c r="K25" s="10"/>
    </row>
    <row r="26" spans="2:12" x14ac:dyDescent="0.4">
      <c r="B26" s="9"/>
      <c r="K26" s="10"/>
    </row>
    <row r="27" spans="2:12" x14ac:dyDescent="0.4">
      <c r="B27" s="9"/>
      <c r="K27" s="10"/>
    </row>
    <row r="28" spans="2:12" x14ac:dyDescent="0.4">
      <c r="B28" s="9"/>
      <c r="K28" s="10"/>
    </row>
    <row r="29" spans="2:12" x14ac:dyDescent="0.4">
      <c r="B29" s="9"/>
      <c r="K29" s="10"/>
    </row>
    <row r="30" spans="2:12" x14ac:dyDescent="0.4">
      <c r="B30" s="9"/>
      <c r="K30" s="10"/>
    </row>
    <row r="31" spans="2:12" ht="19.5" thickBot="1" x14ac:dyDescent="0.45">
      <c r="B31" s="11"/>
      <c r="C31" s="12"/>
      <c r="D31" s="12"/>
      <c r="E31" s="12"/>
      <c r="F31" s="12"/>
      <c r="G31" s="12"/>
      <c r="H31" s="12"/>
      <c r="I31" s="12"/>
      <c r="J31" s="12"/>
      <c r="K31" s="13"/>
    </row>
    <row r="32" spans="2:12" ht="19.5" thickBot="1" x14ac:dyDescent="0.45"/>
    <row r="33" spans="2:12" x14ac:dyDescent="0.4">
      <c r="B33" s="6"/>
      <c r="C33" s="7"/>
      <c r="D33" s="7"/>
      <c r="E33" s="7"/>
      <c r="F33" s="7"/>
      <c r="G33" s="7"/>
      <c r="H33" s="7"/>
      <c r="I33" s="7"/>
      <c r="J33" s="7"/>
      <c r="K33" s="8"/>
      <c r="L33" t="s">
        <v>190</v>
      </c>
    </row>
    <row r="34" spans="2:12" x14ac:dyDescent="0.4">
      <c r="B34" s="9"/>
      <c r="K34" s="10"/>
    </row>
    <row r="35" spans="2:12" x14ac:dyDescent="0.4">
      <c r="B35" s="9"/>
      <c r="K35" s="10"/>
    </row>
    <row r="36" spans="2:12" x14ac:dyDescent="0.4">
      <c r="B36" s="9"/>
      <c r="K36" s="10"/>
    </row>
    <row r="37" spans="2:12" x14ac:dyDescent="0.4">
      <c r="B37" s="9"/>
      <c r="K37" s="10"/>
    </row>
    <row r="38" spans="2:12" x14ac:dyDescent="0.4">
      <c r="B38" s="9"/>
      <c r="K38" s="10"/>
    </row>
    <row r="39" spans="2:12" x14ac:dyDescent="0.4">
      <c r="B39" s="9"/>
      <c r="K39" s="10"/>
    </row>
    <row r="40" spans="2:12" x14ac:dyDescent="0.4">
      <c r="B40" s="9"/>
      <c r="K40" s="10"/>
    </row>
    <row r="41" spans="2:12" x14ac:dyDescent="0.4">
      <c r="B41" s="9"/>
      <c r="K41" s="10"/>
    </row>
    <row r="42" spans="2:12" x14ac:dyDescent="0.4">
      <c r="B42" s="9"/>
      <c r="K42" s="10"/>
    </row>
    <row r="43" spans="2:12" x14ac:dyDescent="0.4">
      <c r="B43" s="9"/>
      <c r="K43" s="10"/>
    </row>
    <row r="44" spans="2:12" x14ac:dyDescent="0.4">
      <c r="B44" s="9"/>
      <c r="K44" s="10"/>
    </row>
    <row r="45" spans="2:12" x14ac:dyDescent="0.4">
      <c r="B45" s="9"/>
      <c r="K45" s="10"/>
    </row>
    <row r="46" spans="2:12" ht="19.5" thickBot="1" x14ac:dyDescent="0.45">
      <c r="B46" s="11"/>
      <c r="C46" s="12"/>
      <c r="D46" s="12"/>
      <c r="E46" s="12"/>
      <c r="F46" s="12"/>
      <c r="G46" s="12"/>
      <c r="H46" s="12"/>
      <c r="I46" s="12"/>
      <c r="J46" s="12"/>
      <c r="K46" s="13"/>
    </row>
    <row r="47" spans="2:12" ht="19.5" thickBot="1" x14ac:dyDescent="0.45"/>
    <row r="48" spans="2:12" x14ac:dyDescent="0.4">
      <c r="B48" s="6"/>
      <c r="C48" s="7"/>
      <c r="D48" s="7"/>
      <c r="E48" s="7"/>
      <c r="F48" s="7"/>
      <c r="G48" s="7"/>
      <c r="H48" s="7"/>
      <c r="I48" s="7"/>
      <c r="J48" s="7"/>
      <c r="K48" s="8"/>
      <c r="L48" t="s">
        <v>191</v>
      </c>
    </row>
    <row r="49" spans="2:11" x14ac:dyDescent="0.4">
      <c r="B49" s="9"/>
      <c r="K49" s="10"/>
    </row>
    <row r="50" spans="2:11" x14ac:dyDescent="0.4">
      <c r="B50" s="9"/>
      <c r="K50" s="10"/>
    </row>
    <row r="51" spans="2:11" x14ac:dyDescent="0.4">
      <c r="B51" s="9"/>
      <c r="K51" s="10"/>
    </row>
    <row r="52" spans="2:11" x14ac:dyDescent="0.4">
      <c r="B52" s="9"/>
      <c r="K52" s="10"/>
    </row>
    <row r="53" spans="2:11" x14ac:dyDescent="0.4">
      <c r="B53" s="9"/>
      <c r="K53" s="10"/>
    </row>
    <row r="54" spans="2:11" x14ac:dyDescent="0.4">
      <c r="B54" s="9"/>
      <c r="K54" s="10"/>
    </row>
    <row r="55" spans="2:11" x14ac:dyDescent="0.4">
      <c r="B55" s="9"/>
      <c r="K55" s="10"/>
    </row>
    <row r="56" spans="2:11" x14ac:dyDescent="0.4">
      <c r="B56" s="9"/>
      <c r="K56" s="10"/>
    </row>
    <row r="57" spans="2:11" x14ac:dyDescent="0.4">
      <c r="B57" s="9"/>
      <c r="K57" s="10"/>
    </row>
    <row r="58" spans="2:11" x14ac:dyDescent="0.4">
      <c r="B58" s="9"/>
      <c r="K58" s="10"/>
    </row>
    <row r="59" spans="2:11" ht="19.5" thickBot="1" x14ac:dyDescent="0.45">
      <c r="B59" s="11"/>
      <c r="C59" s="12"/>
      <c r="D59" s="12"/>
      <c r="E59" s="12"/>
      <c r="F59" s="12"/>
      <c r="G59" s="12"/>
      <c r="H59" s="12"/>
      <c r="I59" s="12"/>
      <c r="J59" s="12"/>
      <c r="K59" s="13"/>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F38F-73BE-4B6B-BA66-331B33FA1371}">
  <dimension ref="A1:D64"/>
  <sheetViews>
    <sheetView workbookViewId="0">
      <selection activeCell="C58" sqref="C58"/>
    </sheetView>
  </sheetViews>
  <sheetFormatPr defaultRowHeight="18.75" x14ac:dyDescent="0.4"/>
  <cols>
    <col min="1" max="1" width="24" customWidth="1"/>
    <col min="2" max="2" width="19.25" bestFit="1" customWidth="1"/>
    <col min="3" max="3" width="58.5" bestFit="1" customWidth="1"/>
    <col min="4" max="4" width="3.75" bestFit="1" customWidth="1"/>
  </cols>
  <sheetData>
    <row r="1" spans="1:4" x14ac:dyDescent="0.4">
      <c r="A1" t="s">
        <v>82</v>
      </c>
    </row>
    <row r="2" spans="1:4" x14ac:dyDescent="0.4">
      <c r="A2" t="s">
        <v>7</v>
      </c>
    </row>
    <row r="3" spans="1:4" x14ac:dyDescent="0.4">
      <c r="A3" t="s">
        <v>8</v>
      </c>
    </row>
    <row r="4" spans="1:4" x14ac:dyDescent="0.4">
      <c r="A4" t="s">
        <v>83</v>
      </c>
      <c r="B4" t="s">
        <v>99</v>
      </c>
    </row>
    <row r="5" spans="1:4" x14ac:dyDescent="0.4">
      <c r="A5" t="s">
        <v>48</v>
      </c>
    </row>
    <row r="6" spans="1:4" x14ac:dyDescent="0.4">
      <c r="A6" t="s">
        <v>84</v>
      </c>
      <c r="B6" t="s">
        <v>89</v>
      </c>
      <c r="C6" t="s">
        <v>94</v>
      </c>
      <c r="D6" t="s">
        <v>100</v>
      </c>
    </row>
    <row r="7" spans="1:4" x14ac:dyDescent="0.4">
      <c r="A7" t="s">
        <v>85</v>
      </c>
      <c r="B7" t="s">
        <v>90</v>
      </c>
      <c r="C7" t="s">
        <v>95</v>
      </c>
      <c r="D7" t="s">
        <v>103</v>
      </c>
    </row>
    <row r="8" spans="1:4" x14ac:dyDescent="0.4">
      <c r="A8" t="s">
        <v>86</v>
      </c>
      <c r="B8" t="s">
        <v>91</v>
      </c>
      <c r="C8" t="s">
        <v>96</v>
      </c>
      <c r="D8" t="s">
        <v>101</v>
      </c>
    </row>
    <row r="9" spans="1:4" x14ac:dyDescent="0.4">
      <c r="A9" t="s">
        <v>88</v>
      </c>
      <c r="B9" t="s">
        <v>92</v>
      </c>
      <c r="C9" t="s">
        <v>97</v>
      </c>
      <c r="D9" t="s">
        <v>102</v>
      </c>
    </row>
    <row r="10" spans="1:4" x14ac:dyDescent="0.4">
      <c r="A10" t="s">
        <v>87</v>
      </c>
      <c r="B10" t="s">
        <v>93</v>
      </c>
      <c r="C10" t="s">
        <v>98</v>
      </c>
      <c r="D10" t="s">
        <v>100</v>
      </c>
    </row>
    <row r="12" spans="1:4" x14ac:dyDescent="0.4">
      <c r="A12" t="s">
        <v>104</v>
      </c>
    </row>
    <row r="13" spans="1:4" x14ac:dyDescent="0.4">
      <c r="A13" t="s">
        <v>107</v>
      </c>
    </row>
    <row r="16" spans="1:4" x14ac:dyDescent="0.4">
      <c r="A16" t="s">
        <v>105</v>
      </c>
    </row>
    <row r="18" spans="1:3" x14ac:dyDescent="0.4">
      <c r="A18" t="s">
        <v>122</v>
      </c>
    </row>
    <row r="21" spans="1:3" x14ac:dyDescent="0.4">
      <c r="A21" t="s">
        <v>138</v>
      </c>
      <c r="C21" t="s">
        <v>140</v>
      </c>
    </row>
    <row r="22" spans="1:3" x14ac:dyDescent="0.4">
      <c r="A22" t="s">
        <v>1</v>
      </c>
      <c r="C22" t="s">
        <v>141</v>
      </c>
    </row>
    <row r="23" spans="1:3" x14ac:dyDescent="0.4">
      <c r="A23" t="s">
        <v>4</v>
      </c>
      <c r="C23" t="s">
        <v>116</v>
      </c>
    </row>
    <row r="24" spans="1:3" x14ac:dyDescent="0.4">
      <c r="A24" t="s">
        <v>139</v>
      </c>
      <c r="C24" t="s">
        <v>143</v>
      </c>
    </row>
    <row r="25" spans="1:3" x14ac:dyDescent="0.4">
      <c r="A25" t="s">
        <v>43</v>
      </c>
      <c r="C25" t="s">
        <v>142</v>
      </c>
    </row>
    <row r="26" spans="1:3" x14ac:dyDescent="0.4">
      <c r="C26" t="s">
        <v>144</v>
      </c>
    </row>
    <row r="27" spans="1:3" x14ac:dyDescent="0.4">
      <c r="C27" t="s">
        <v>145</v>
      </c>
    </row>
    <row r="28" spans="1:3" x14ac:dyDescent="0.4">
      <c r="C28" t="s">
        <v>146</v>
      </c>
    </row>
    <row r="30" spans="1:3" x14ac:dyDescent="0.4">
      <c r="C30" t="s">
        <v>147</v>
      </c>
    </row>
    <row r="31" spans="1:3" x14ac:dyDescent="0.4">
      <c r="C31" t="s">
        <v>144</v>
      </c>
    </row>
    <row r="32" spans="1:3" x14ac:dyDescent="0.4">
      <c r="C32" t="s">
        <v>145</v>
      </c>
    </row>
    <row r="33" spans="1:3" x14ac:dyDescent="0.4">
      <c r="C33" t="s">
        <v>116</v>
      </c>
    </row>
    <row r="34" spans="1:3" x14ac:dyDescent="0.4">
      <c r="C34" t="s">
        <v>146</v>
      </c>
    </row>
    <row r="35" spans="1:3" x14ac:dyDescent="0.4">
      <c r="C35" t="s">
        <v>143</v>
      </c>
    </row>
    <row r="36" spans="1:3" x14ac:dyDescent="0.4">
      <c r="C36" t="s">
        <v>142</v>
      </c>
    </row>
    <row r="38" spans="1:3" x14ac:dyDescent="0.4">
      <c r="C38" t="s">
        <v>148</v>
      </c>
    </row>
    <row r="39" spans="1:3" x14ac:dyDescent="0.4">
      <c r="C39" t="s">
        <v>144</v>
      </c>
    </row>
    <row r="40" spans="1:3" x14ac:dyDescent="0.4">
      <c r="C40" t="s">
        <v>146</v>
      </c>
    </row>
    <row r="42" spans="1:3" x14ac:dyDescent="0.4">
      <c r="C42" t="s">
        <v>149</v>
      </c>
    </row>
    <row r="43" spans="1:3" x14ac:dyDescent="0.4">
      <c r="C43" t="s">
        <v>125</v>
      </c>
    </row>
    <row r="44" spans="1:3" x14ac:dyDescent="0.4">
      <c r="C44" t="s">
        <v>126</v>
      </c>
    </row>
    <row r="45" spans="1:3" x14ac:dyDescent="0.4">
      <c r="C45" t="s">
        <v>150</v>
      </c>
    </row>
    <row r="46" spans="1:3" x14ac:dyDescent="0.4">
      <c r="C46" t="s">
        <v>151</v>
      </c>
    </row>
    <row r="48" spans="1:3" x14ac:dyDescent="0.4">
      <c r="A48" t="s">
        <v>156</v>
      </c>
    </row>
    <row r="49" spans="1:3" x14ac:dyDescent="0.4">
      <c r="A49" t="s">
        <v>157</v>
      </c>
    </row>
    <row r="50" spans="1:3" x14ac:dyDescent="0.4">
      <c r="A50" t="s">
        <v>158</v>
      </c>
    </row>
    <row r="51" spans="1:3" x14ac:dyDescent="0.4">
      <c r="A51" t="s">
        <v>159</v>
      </c>
    </row>
    <row r="52" spans="1:3" x14ac:dyDescent="0.4">
      <c r="B52" t="s">
        <v>168</v>
      </c>
      <c r="C52" t="s">
        <v>2</v>
      </c>
    </row>
    <row r="53" spans="1:3" x14ac:dyDescent="0.4">
      <c r="B53" t="s">
        <v>89</v>
      </c>
      <c r="C53" t="s">
        <v>169</v>
      </c>
    </row>
    <row r="54" spans="1:3" x14ac:dyDescent="0.4">
      <c r="B54" t="s">
        <v>166</v>
      </c>
      <c r="C54" t="s">
        <v>170</v>
      </c>
    </row>
    <row r="55" spans="1:3" x14ac:dyDescent="0.4">
      <c r="B55" t="s">
        <v>167</v>
      </c>
      <c r="C55" t="s">
        <v>171</v>
      </c>
    </row>
    <row r="56" spans="1:3" x14ac:dyDescent="0.4">
      <c r="B56" t="s">
        <v>90</v>
      </c>
    </row>
    <row r="57" spans="1:3" x14ac:dyDescent="0.4">
      <c r="C57" t="s">
        <v>4</v>
      </c>
    </row>
    <row r="60" spans="1:3" x14ac:dyDescent="0.4">
      <c r="B60" t="s">
        <v>197</v>
      </c>
    </row>
    <row r="61" spans="1:3" x14ac:dyDescent="0.4">
      <c r="B61" t="s">
        <v>199</v>
      </c>
    </row>
    <row r="62" spans="1:3" x14ac:dyDescent="0.4">
      <c r="B62" t="s">
        <v>198</v>
      </c>
    </row>
    <row r="63" spans="1:3" x14ac:dyDescent="0.4">
      <c r="B63" t="s">
        <v>200</v>
      </c>
    </row>
    <row r="64" spans="1:3" x14ac:dyDescent="0.4">
      <c r="B64" t="s">
        <v>201</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0E5CC-49DB-4C8A-882D-E21B34D11A24}">
  <dimension ref="A1:B14"/>
  <sheetViews>
    <sheetView tabSelected="1" workbookViewId="0">
      <selection activeCell="B16" sqref="B16"/>
    </sheetView>
  </sheetViews>
  <sheetFormatPr defaultRowHeight="18.75" x14ac:dyDescent="0.4"/>
  <sheetData>
    <row r="1" spans="1:2" x14ac:dyDescent="0.4">
      <c r="A1" t="s">
        <v>272</v>
      </c>
    </row>
    <row r="2" spans="1:2" x14ac:dyDescent="0.4">
      <c r="A2" t="s">
        <v>273</v>
      </c>
    </row>
    <row r="3" spans="1:2" x14ac:dyDescent="0.4">
      <c r="A3" t="s">
        <v>274</v>
      </c>
    </row>
    <row r="4" spans="1:2" x14ac:dyDescent="0.4">
      <c r="A4" t="s">
        <v>275</v>
      </c>
    </row>
    <row r="6" spans="1:2" x14ac:dyDescent="0.4">
      <c r="A6" t="s">
        <v>276</v>
      </c>
    </row>
    <row r="7" spans="1:2" x14ac:dyDescent="0.4">
      <c r="A7" t="s">
        <v>1</v>
      </c>
    </row>
    <row r="8" spans="1:2" x14ac:dyDescent="0.4">
      <c r="B8" t="s">
        <v>277</v>
      </c>
    </row>
    <row r="9" spans="1:2" x14ac:dyDescent="0.4">
      <c r="B9" t="s">
        <v>278</v>
      </c>
    </row>
    <row r="10" spans="1:2" x14ac:dyDescent="0.4">
      <c r="B10" t="s">
        <v>279</v>
      </c>
    </row>
    <row r="11" spans="1:2" x14ac:dyDescent="0.4">
      <c r="B11" t="s">
        <v>280</v>
      </c>
    </row>
    <row r="12" spans="1:2" x14ac:dyDescent="0.4">
      <c r="B12" t="s">
        <v>216</v>
      </c>
    </row>
    <row r="13" spans="1:2" x14ac:dyDescent="0.4">
      <c r="B13" t="s">
        <v>87</v>
      </c>
    </row>
    <row r="14" spans="1:2" x14ac:dyDescent="0.4">
      <c r="B14" t="s">
        <v>281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コスト表</vt:lpstr>
      <vt:lpstr>やることとか書き出し</vt:lpstr>
      <vt:lpstr>カレンダー</vt:lpstr>
      <vt:lpstr>クラス一覧</vt:lpstr>
      <vt:lpstr>クラス図</vt:lpstr>
      <vt:lpstr>プレイヤー設計</vt:lpstr>
      <vt:lpstr>ゲーム画面イメージ</vt:lpstr>
      <vt:lpstr>memo</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大翔 佐々木</dc:creator>
  <cp:lastModifiedBy>大翔 佐々木</cp:lastModifiedBy>
  <dcterms:created xsi:type="dcterms:W3CDTF">2026-05-07T02:36:28Z</dcterms:created>
  <dcterms:modified xsi:type="dcterms:W3CDTF">2026-08-06T05:37:18Z</dcterms:modified>
</cp:coreProperties>
</file>