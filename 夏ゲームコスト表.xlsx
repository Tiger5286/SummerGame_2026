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EF85490A-537A-429C-94FB-4945CF4B95EE}" xr6:coauthVersionLast="47" xr6:coauthVersionMax="47" xr10:uidLastSave="{00000000-0000-0000-0000-000000000000}"/>
  <bookViews>
    <workbookView xWindow="-120" yWindow="-120" windowWidth="29040" windowHeight="15720" activeTab="5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memo" sheetId="5" r:id="rId6"/>
  </sheets>
  <definedNames>
    <definedName name="_xlnm._FilterDatabase" localSheetId="0" hidden="1">コスト表!$A$3:$G$102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7" i="1"/>
  <c r="J6" i="1"/>
  <c r="J5" i="1"/>
  <c r="J4" i="1"/>
</calcChain>
</file>

<file path=xl/sharedStrings.xml><?xml version="1.0" encoding="utf-8"?>
<sst xmlns="http://schemas.openxmlformats.org/spreadsheetml/2006/main" count="542" uniqueCount="177">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</sst>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2"/>
  <sheetViews>
    <sheetView workbookViewId="0">
      <selection activeCell="K10" sqref="K10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58</v>
      </c>
    </row>
    <row r="2" spans="1:12" ht="19.5" thickBot="1" x14ac:dyDescent="0.45"/>
    <row r="3" spans="1:12" ht="19.5" thickBot="1" x14ac:dyDescent="0.45">
      <c r="A3" s="1" t="s">
        <v>28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3" t="s">
        <v>34</v>
      </c>
      <c r="J3" t="s">
        <v>85</v>
      </c>
      <c r="K3" t="s">
        <v>91</v>
      </c>
      <c r="L3" t="s">
        <v>92</v>
      </c>
    </row>
    <row r="4" spans="1:12" x14ac:dyDescent="0.4">
      <c r="A4" s="6" t="s">
        <v>6</v>
      </c>
      <c r="B4" s="8" t="s">
        <v>35</v>
      </c>
      <c r="C4" s="7" t="s">
        <v>37</v>
      </c>
      <c r="D4" s="7" t="s">
        <v>36</v>
      </c>
      <c r="E4" s="7">
        <v>5</v>
      </c>
      <c r="F4" s="7"/>
      <c r="G4" s="8" t="s">
        <v>38</v>
      </c>
      <c r="I4" t="s">
        <v>86</v>
      </c>
      <c r="J4">
        <f>SUM(E4:E100)</f>
        <v>106</v>
      </c>
    </row>
    <row r="5" spans="1:12" x14ac:dyDescent="0.4">
      <c r="A5" s="9"/>
      <c r="B5" s="10" t="s">
        <v>39</v>
      </c>
      <c r="C5" t="s">
        <v>37</v>
      </c>
      <c r="D5" t="s">
        <v>36</v>
      </c>
      <c r="E5">
        <v>1</v>
      </c>
      <c r="G5" s="10" t="s">
        <v>38</v>
      </c>
      <c r="I5" t="s">
        <v>87</v>
      </c>
      <c r="J5">
        <f>SUMIFS(E4:E100,D4:D100,"プロト")</f>
        <v>102</v>
      </c>
    </row>
    <row r="6" spans="1:12" x14ac:dyDescent="0.4">
      <c r="A6" s="9"/>
      <c r="B6" s="10" t="s">
        <v>40</v>
      </c>
      <c r="C6" t="s">
        <v>37</v>
      </c>
      <c r="D6" t="s">
        <v>36</v>
      </c>
      <c r="E6">
        <v>2</v>
      </c>
      <c r="G6" s="10" t="s">
        <v>38</v>
      </c>
      <c r="I6" t="s">
        <v>88</v>
      </c>
      <c r="J6">
        <f>SUMIFS(E4:E100,D4:D100,"アルファ")</f>
        <v>4</v>
      </c>
    </row>
    <row r="7" spans="1:12" x14ac:dyDescent="0.4">
      <c r="A7" s="9"/>
      <c r="B7" s="10" t="s">
        <v>41</v>
      </c>
      <c r="C7" t="s">
        <v>37</v>
      </c>
      <c r="D7" t="s">
        <v>36</v>
      </c>
      <c r="E7">
        <v>2</v>
      </c>
      <c r="G7" s="10" t="s">
        <v>38</v>
      </c>
      <c r="I7" t="s">
        <v>89</v>
      </c>
      <c r="J7">
        <f>SUMIFS(E4:E100,D4:D100,"ベータ")</f>
        <v>0</v>
      </c>
    </row>
    <row r="8" spans="1:12" ht="19.5" thickBot="1" x14ac:dyDescent="0.45">
      <c r="A8" s="11"/>
      <c r="B8" s="13" t="s">
        <v>42</v>
      </c>
      <c r="C8" s="12" t="s">
        <v>37</v>
      </c>
      <c r="D8" s="12" t="s">
        <v>36</v>
      </c>
      <c r="E8" s="12">
        <v>2</v>
      </c>
      <c r="F8" s="12">
        <v>3</v>
      </c>
      <c r="G8" s="13" t="s">
        <v>83</v>
      </c>
      <c r="I8" t="s">
        <v>90</v>
      </c>
      <c r="J8">
        <f>SUMIFS(E4:E100,D4:D100,"マスター")</f>
        <v>0</v>
      </c>
    </row>
    <row r="9" spans="1:12" x14ac:dyDescent="0.4">
      <c r="A9" s="6" t="s">
        <v>1</v>
      </c>
      <c r="B9" s="8" t="s">
        <v>7</v>
      </c>
      <c r="C9" s="7" t="s">
        <v>37</v>
      </c>
      <c r="D9" s="7" t="s">
        <v>36</v>
      </c>
      <c r="E9" s="7">
        <v>1</v>
      </c>
      <c r="F9" s="7">
        <v>1.5</v>
      </c>
      <c r="G9" s="8" t="s">
        <v>83</v>
      </c>
    </row>
    <row r="10" spans="1:12" x14ac:dyDescent="0.4">
      <c r="A10" s="9"/>
      <c r="B10" s="10" t="s">
        <v>8</v>
      </c>
      <c r="C10" t="s">
        <v>37</v>
      </c>
      <c r="D10" t="s">
        <v>36</v>
      </c>
      <c r="E10">
        <v>2</v>
      </c>
      <c r="F10">
        <v>1.5</v>
      </c>
      <c r="G10" s="10" t="s">
        <v>83</v>
      </c>
    </row>
    <row r="11" spans="1:12" x14ac:dyDescent="0.4">
      <c r="A11" s="9"/>
      <c r="B11" s="10" t="s">
        <v>10</v>
      </c>
      <c r="C11" t="s">
        <v>37</v>
      </c>
      <c r="D11" t="s">
        <v>36</v>
      </c>
      <c r="E11">
        <v>5</v>
      </c>
      <c r="F11">
        <v>5</v>
      </c>
      <c r="G11" s="10" t="s">
        <v>83</v>
      </c>
    </row>
    <row r="12" spans="1:12" x14ac:dyDescent="0.4">
      <c r="A12" s="9"/>
      <c r="B12" s="10" t="s">
        <v>53</v>
      </c>
      <c r="C12" t="s">
        <v>37</v>
      </c>
      <c r="D12" t="s">
        <v>36</v>
      </c>
      <c r="E12">
        <v>3</v>
      </c>
      <c r="F12">
        <v>3</v>
      </c>
      <c r="G12" s="10" t="s">
        <v>83</v>
      </c>
    </row>
    <row r="13" spans="1:12" x14ac:dyDescent="0.4">
      <c r="A13" s="9"/>
      <c r="B13" s="10" t="s">
        <v>54</v>
      </c>
      <c r="C13" t="s">
        <v>37</v>
      </c>
      <c r="D13" t="s">
        <v>36</v>
      </c>
      <c r="E13">
        <v>3</v>
      </c>
      <c r="G13" s="10" t="s">
        <v>38</v>
      </c>
    </row>
    <row r="14" spans="1:12" x14ac:dyDescent="0.4">
      <c r="A14" s="9"/>
      <c r="B14" s="10" t="s">
        <v>55</v>
      </c>
      <c r="C14" t="s">
        <v>37</v>
      </c>
      <c r="D14" t="s">
        <v>36</v>
      </c>
      <c r="E14">
        <v>2</v>
      </c>
      <c r="G14" s="10" t="s">
        <v>38</v>
      </c>
    </row>
    <row r="15" spans="1:12" x14ac:dyDescent="0.4">
      <c r="A15" s="9"/>
      <c r="B15" s="10" t="s">
        <v>56</v>
      </c>
      <c r="C15" t="s">
        <v>37</v>
      </c>
      <c r="D15" t="s">
        <v>36</v>
      </c>
      <c r="E15">
        <v>4</v>
      </c>
      <c r="G15" s="10" t="s">
        <v>38</v>
      </c>
    </row>
    <row r="16" spans="1:12" x14ac:dyDescent="0.4">
      <c r="A16" s="9"/>
      <c r="B16" s="10" t="s">
        <v>57</v>
      </c>
      <c r="C16" t="s">
        <v>37</v>
      </c>
      <c r="D16" t="s">
        <v>36</v>
      </c>
      <c r="E16">
        <v>3</v>
      </c>
      <c r="G16" s="10" t="s">
        <v>38</v>
      </c>
    </row>
    <row r="17" spans="1:7" x14ac:dyDescent="0.4">
      <c r="A17" s="9"/>
      <c r="B17" s="10" t="s">
        <v>84</v>
      </c>
      <c r="C17" t="s">
        <v>37</v>
      </c>
      <c r="D17" t="s">
        <v>36</v>
      </c>
      <c r="E17">
        <v>3</v>
      </c>
      <c r="G17" s="10" t="s">
        <v>38</v>
      </c>
    </row>
    <row r="18" spans="1:7" x14ac:dyDescent="0.4">
      <c r="A18" s="9"/>
      <c r="B18" s="10" t="s">
        <v>11</v>
      </c>
      <c r="C18" t="s">
        <v>37</v>
      </c>
      <c r="D18" t="s">
        <v>36</v>
      </c>
      <c r="E18">
        <v>4</v>
      </c>
      <c r="G18" s="10" t="s">
        <v>38</v>
      </c>
    </row>
    <row r="19" spans="1:7" x14ac:dyDescent="0.4">
      <c r="A19" s="9"/>
      <c r="B19" s="10" t="s">
        <v>12</v>
      </c>
      <c r="C19" t="s">
        <v>82</v>
      </c>
      <c r="D19" t="s">
        <v>72</v>
      </c>
      <c r="E19">
        <v>2</v>
      </c>
      <c r="G19" s="10" t="s">
        <v>38</v>
      </c>
    </row>
    <row r="20" spans="1:7" ht="19.5" thickBot="1" x14ac:dyDescent="0.45">
      <c r="A20" s="11"/>
      <c r="B20" s="13" t="s">
        <v>13</v>
      </c>
      <c r="C20" s="12" t="s">
        <v>82</v>
      </c>
      <c r="D20" s="12" t="s">
        <v>72</v>
      </c>
      <c r="E20" s="12">
        <v>2</v>
      </c>
      <c r="F20" s="12"/>
      <c r="G20" s="13" t="s">
        <v>38</v>
      </c>
    </row>
    <row r="21" spans="1:7" x14ac:dyDescent="0.4">
      <c r="A21" s="6" t="s">
        <v>5</v>
      </c>
      <c r="B21" s="8" t="s">
        <v>16</v>
      </c>
      <c r="C21" s="7" t="s">
        <v>37</v>
      </c>
      <c r="D21" s="7" t="s">
        <v>36</v>
      </c>
      <c r="E21" s="7">
        <v>2</v>
      </c>
      <c r="F21" s="7">
        <v>2</v>
      </c>
      <c r="G21" s="8" t="s">
        <v>83</v>
      </c>
    </row>
    <row r="22" spans="1:7" x14ac:dyDescent="0.4">
      <c r="A22" s="9"/>
      <c r="B22" s="10" t="s">
        <v>14</v>
      </c>
      <c r="C22" t="s">
        <v>37</v>
      </c>
      <c r="D22" t="s">
        <v>36</v>
      </c>
      <c r="E22">
        <v>5</v>
      </c>
      <c r="G22" s="10" t="s">
        <v>38</v>
      </c>
    </row>
    <row r="23" spans="1:7" ht="19.5" thickBot="1" x14ac:dyDescent="0.45">
      <c r="A23" s="11"/>
      <c r="B23" s="13" t="s">
        <v>15</v>
      </c>
      <c r="C23" s="12" t="s">
        <v>37</v>
      </c>
      <c r="D23" s="12" t="s">
        <v>36</v>
      </c>
      <c r="E23" s="12">
        <v>4</v>
      </c>
      <c r="F23" s="12"/>
      <c r="G23" s="13" t="s">
        <v>38</v>
      </c>
    </row>
    <row r="24" spans="1:7" x14ac:dyDescent="0.4">
      <c r="A24" s="6" t="s">
        <v>2</v>
      </c>
      <c r="B24" s="8" t="s">
        <v>45</v>
      </c>
      <c r="C24" s="7" t="s">
        <v>37</v>
      </c>
      <c r="D24" s="7" t="s">
        <v>36</v>
      </c>
      <c r="E24" s="7">
        <v>4</v>
      </c>
      <c r="F24" s="7"/>
      <c r="G24" s="8" t="s">
        <v>38</v>
      </c>
    </row>
    <row r="25" spans="1:7" x14ac:dyDescent="0.4">
      <c r="A25" s="9"/>
      <c r="B25" s="10" t="s">
        <v>7</v>
      </c>
      <c r="C25" t="s">
        <v>37</v>
      </c>
      <c r="D25" t="s">
        <v>36</v>
      </c>
      <c r="E25">
        <v>2</v>
      </c>
      <c r="G25" s="10" t="s">
        <v>38</v>
      </c>
    </row>
    <row r="26" spans="1:7" ht="19.5" thickBot="1" x14ac:dyDescent="0.45">
      <c r="A26" s="11"/>
      <c r="B26" s="13" t="s">
        <v>46</v>
      </c>
      <c r="C26" s="12" t="s">
        <v>37</v>
      </c>
      <c r="D26" s="12" t="s">
        <v>36</v>
      </c>
      <c r="E26" s="12">
        <v>3</v>
      </c>
      <c r="F26" s="12"/>
      <c r="G26" s="13" t="s">
        <v>38</v>
      </c>
    </row>
    <row r="27" spans="1:7" x14ac:dyDescent="0.4">
      <c r="A27" s="6" t="s">
        <v>4</v>
      </c>
      <c r="B27" s="8" t="s">
        <v>45</v>
      </c>
      <c r="C27" s="7" t="s">
        <v>37</v>
      </c>
      <c r="D27" s="7" t="s">
        <v>36</v>
      </c>
      <c r="E27" s="7">
        <v>6</v>
      </c>
      <c r="F27" s="7"/>
      <c r="G27" s="8" t="s">
        <v>38</v>
      </c>
    </row>
    <row r="28" spans="1:7" x14ac:dyDescent="0.4">
      <c r="A28" s="9"/>
      <c r="B28" s="10" t="s">
        <v>7</v>
      </c>
      <c r="C28" t="s">
        <v>37</v>
      </c>
      <c r="D28" t="s">
        <v>36</v>
      </c>
      <c r="E28">
        <v>2</v>
      </c>
      <c r="G28" s="10" t="s">
        <v>38</v>
      </c>
    </row>
    <row r="29" spans="1:7" ht="19.5" thickBot="1" x14ac:dyDescent="0.45">
      <c r="A29" s="11"/>
      <c r="B29" s="13" t="s">
        <v>46</v>
      </c>
      <c r="C29" s="12" t="s">
        <v>37</v>
      </c>
      <c r="D29" s="12" t="s">
        <v>36</v>
      </c>
      <c r="E29" s="12">
        <v>4</v>
      </c>
      <c r="F29" s="12"/>
      <c r="G29" s="13" t="s">
        <v>38</v>
      </c>
    </row>
    <row r="30" spans="1:7" ht="19.5" thickBot="1" x14ac:dyDescent="0.45">
      <c r="A30" s="14" t="s">
        <v>3</v>
      </c>
      <c r="B30" s="16" t="s">
        <v>47</v>
      </c>
      <c r="C30" s="15" t="s">
        <v>37</v>
      </c>
      <c r="D30" s="15" t="s">
        <v>36</v>
      </c>
      <c r="E30" s="15">
        <v>10</v>
      </c>
      <c r="F30" s="15"/>
      <c r="G30" s="16" t="s">
        <v>38</v>
      </c>
    </row>
    <row r="31" spans="1:7" x14ac:dyDescent="0.4">
      <c r="A31" s="6" t="s">
        <v>9</v>
      </c>
      <c r="B31" s="8" t="s">
        <v>48</v>
      </c>
      <c r="C31" s="7" t="s">
        <v>37</v>
      </c>
      <c r="D31" s="7" t="s">
        <v>36</v>
      </c>
      <c r="E31" s="7">
        <v>2</v>
      </c>
      <c r="F31" s="7"/>
      <c r="G31" s="8" t="s">
        <v>38</v>
      </c>
    </row>
    <row r="32" spans="1:7" ht="19.5" thickBot="1" x14ac:dyDescent="0.45">
      <c r="A32" s="11"/>
      <c r="B32" s="13" t="s">
        <v>49</v>
      </c>
      <c r="C32" s="12" t="s">
        <v>37</v>
      </c>
      <c r="D32" s="12" t="s">
        <v>36</v>
      </c>
      <c r="E32" s="12">
        <v>4</v>
      </c>
      <c r="F32" s="12"/>
      <c r="G32" s="13" t="s">
        <v>38</v>
      </c>
    </row>
    <row r="33" spans="1:7" x14ac:dyDescent="0.4">
      <c r="A33" s="6" t="s">
        <v>43</v>
      </c>
      <c r="B33" s="7" t="s">
        <v>1</v>
      </c>
      <c r="C33" s="6" t="s">
        <v>37</v>
      </c>
      <c r="D33" s="7" t="s">
        <v>36</v>
      </c>
      <c r="E33" s="7">
        <v>2</v>
      </c>
      <c r="F33" s="7">
        <v>2</v>
      </c>
      <c r="G33" s="8" t="s">
        <v>83</v>
      </c>
    </row>
    <row r="34" spans="1:7" x14ac:dyDescent="0.4">
      <c r="A34" s="9"/>
      <c r="B34" t="s">
        <v>50</v>
      </c>
      <c r="C34" s="9" t="s">
        <v>37</v>
      </c>
      <c r="D34" t="s">
        <v>36</v>
      </c>
      <c r="E34">
        <v>2</v>
      </c>
      <c r="G34" s="10" t="s">
        <v>38</v>
      </c>
    </row>
    <row r="35" spans="1:7" x14ac:dyDescent="0.4">
      <c r="A35" s="9"/>
      <c r="B35" t="s">
        <v>51</v>
      </c>
      <c r="C35" s="9" t="s">
        <v>37</v>
      </c>
      <c r="D35" t="s">
        <v>36</v>
      </c>
      <c r="E35">
        <v>2</v>
      </c>
      <c r="G35" s="10" t="s">
        <v>38</v>
      </c>
    </row>
    <row r="36" spans="1:7" x14ac:dyDescent="0.4">
      <c r="A36" s="9"/>
      <c r="B36" t="s">
        <v>52</v>
      </c>
      <c r="C36" s="9" t="s">
        <v>37</v>
      </c>
      <c r="D36" t="s">
        <v>36</v>
      </c>
      <c r="E36">
        <v>2</v>
      </c>
      <c r="G36" s="10" t="s">
        <v>38</v>
      </c>
    </row>
    <row r="37" spans="1:7" x14ac:dyDescent="0.4">
      <c r="A37" s="9"/>
      <c r="B37" t="s">
        <v>4</v>
      </c>
      <c r="C37" s="9" t="s">
        <v>37</v>
      </c>
      <c r="D37" t="s">
        <v>36</v>
      </c>
      <c r="E37">
        <v>2</v>
      </c>
      <c r="G37" s="10" t="s">
        <v>38</v>
      </c>
    </row>
    <row r="38" spans="1:7" ht="19.5" thickBot="1" x14ac:dyDescent="0.45">
      <c r="A38" s="11"/>
      <c r="B38" s="12" t="s">
        <v>3</v>
      </c>
      <c r="C38" s="11" t="s">
        <v>37</v>
      </c>
      <c r="D38" s="12" t="s">
        <v>36</v>
      </c>
      <c r="E38" s="12">
        <v>2</v>
      </c>
      <c r="F38" s="12"/>
      <c r="G38" s="13" t="s">
        <v>38</v>
      </c>
    </row>
    <row r="39" spans="1:7" x14ac:dyDescent="0.4">
      <c r="A39" s="9" t="s">
        <v>44</v>
      </c>
      <c r="B39" s="10" t="s">
        <v>44</v>
      </c>
      <c r="C39" t="s">
        <v>37</v>
      </c>
      <c r="D39" t="s">
        <v>74</v>
      </c>
      <c r="G39" s="10" t="s">
        <v>38</v>
      </c>
    </row>
    <row r="40" spans="1:7" ht="19.5" thickBot="1" x14ac:dyDescent="0.45">
      <c r="A40" s="11"/>
      <c r="B40" s="13" t="s">
        <v>79</v>
      </c>
      <c r="C40" s="12" t="s">
        <v>37</v>
      </c>
      <c r="D40" s="12" t="s">
        <v>74</v>
      </c>
      <c r="E40" s="12"/>
      <c r="F40" s="12"/>
      <c r="G40" s="13" t="s">
        <v>38</v>
      </c>
    </row>
    <row r="41" spans="1:7" x14ac:dyDescent="0.4">
      <c r="A41" s="6" t="s">
        <v>80</v>
      </c>
      <c r="B41" s="8" t="s">
        <v>81</v>
      </c>
      <c r="C41" s="7" t="s">
        <v>37</v>
      </c>
      <c r="D41" s="7" t="s">
        <v>76</v>
      </c>
      <c r="E41" s="7"/>
      <c r="F41" s="7"/>
      <c r="G41" s="8" t="s">
        <v>38</v>
      </c>
    </row>
    <row r="42" spans="1:7" ht="19.5" thickBot="1" x14ac:dyDescent="0.45">
      <c r="A42" s="11"/>
      <c r="B42" s="13" t="s">
        <v>79</v>
      </c>
      <c r="C42" s="12" t="s">
        <v>37</v>
      </c>
      <c r="D42" s="12" t="s">
        <v>76</v>
      </c>
      <c r="E42" s="12"/>
      <c r="F42" s="12"/>
      <c r="G42" s="13" t="s">
        <v>38</v>
      </c>
    </row>
    <row r="43" spans="1:7" x14ac:dyDescent="0.4">
      <c r="C43" t="s">
        <v>37</v>
      </c>
      <c r="D43" t="s">
        <v>36</v>
      </c>
      <c r="G43" t="s">
        <v>38</v>
      </c>
    </row>
    <row r="44" spans="1:7" x14ac:dyDescent="0.4">
      <c r="C44" t="s">
        <v>37</v>
      </c>
      <c r="D44" t="s">
        <v>36</v>
      </c>
      <c r="G44" t="s">
        <v>38</v>
      </c>
    </row>
    <row r="45" spans="1:7" x14ac:dyDescent="0.4">
      <c r="C45" t="s">
        <v>37</v>
      </c>
      <c r="D45" t="s">
        <v>36</v>
      </c>
      <c r="G45" t="s">
        <v>38</v>
      </c>
    </row>
    <row r="46" spans="1:7" x14ac:dyDescent="0.4">
      <c r="C46" t="s">
        <v>37</v>
      </c>
      <c r="D46" t="s">
        <v>36</v>
      </c>
      <c r="G46" t="s">
        <v>38</v>
      </c>
    </row>
    <row r="47" spans="1:7" x14ac:dyDescent="0.4">
      <c r="C47" t="s">
        <v>37</v>
      </c>
      <c r="D47" t="s">
        <v>36</v>
      </c>
      <c r="G47" t="s">
        <v>38</v>
      </c>
    </row>
    <row r="48" spans="1:7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</sheetData>
  <autoFilter ref="A3:G102" xr:uid="{3ABA19D7-703C-4BDA-ABBE-D42092489F0E}"/>
  <phoneticPr fontId="1"/>
  <dataValidations count="3">
    <dataValidation type="list" allowBlank="1" showInputMessage="1" showErrorMessage="1" sqref="G4:G102" xr:uid="{05F1DF74-5C3A-4656-9180-8CB2E572755F}">
      <formula1>"未着手,作業中,完了"</formula1>
    </dataValidation>
    <dataValidation type="list" allowBlank="1" showInputMessage="1" showErrorMessage="1" sqref="C4:C102" xr:uid="{02D66180-7540-49E9-8878-4AAA7C63EEA4}">
      <formula1>"C,B,A,S"</formula1>
    </dataValidation>
    <dataValidation type="list" allowBlank="1" showInputMessage="1" showErrorMessage="1" sqref="D4:D102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H36"/>
  <sheetViews>
    <sheetView workbookViewId="0">
      <selection activeCell="I11" sqref="I11"/>
    </sheetView>
  </sheetViews>
  <sheetFormatPr defaultRowHeight="18.75" x14ac:dyDescent="0.4"/>
  <sheetData>
    <row r="2" spans="2:8" x14ac:dyDescent="0.4">
      <c r="D2" t="s">
        <v>71</v>
      </c>
      <c r="E2" t="s">
        <v>73</v>
      </c>
      <c r="F2" t="s">
        <v>75</v>
      </c>
      <c r="G2" t="s">
        <v>77</v>
      </c>
      <c r="H2" t="s">
        <v>78</v>
      </c>
    </row>
    <row r="3" spans="2:8" ht="19.5" thickBot="1" x14ac:dyDescent="0.45">
      <c r="D3" s="17"/>
      <c r="E3" s="18"/>
      <c r="F3" s="19"/>
      <c r="G3" s="20"/>
      <c r="H3" s="21"/>
    </row>
    <row r="4" spans="2:8" ht="19.5" thickBot="1" x14ac:dyDescent="0.45">
      <c r="B4" s="5" t="s">
        <v>59</v>
      </c>
    </row>
    <row r="5" spans="2:8" ht="19.5" thickBot="1" x14ac:dyDescent="0.45">
      <c r="B5" s="14" t="s">
        <v>66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6" t="s">
        <v>65</v>
      </c>
    </row>
    <row r="6" spans="2:8" x14ac:dyDescent="0.4">
      <c r="B6" s="9"/>
      <c r="G6">
        <v>1</v>
      </c>
      <c r="H6" s="10">
        <v>2</v>
      </c>
    </row>
    <row r="7" spans="2:8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8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8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8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8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8" ht="19.5" thickBot="1" x14ac:dyDescent="0.45">
      <c r="B12" s="4" t="s">
        <v>67</v>
      </c>
    </row>
    <row r="13" spans="2:8" ht="19.5" thickBot="1" x14ac:dyDescent="0.45">
      <c r="B13" s="6" t="s">
        <v>66</v>
      </c>
      <c r="C13" s="7" t="s">
        <v>60</v>
      </c>
      <c r="D13" s="7" t="s">
        <v>61</v>
      </c>
      <c r="E13" s="7" t="s">
        <v>62</v>
      </c>
      <c r="F13" s="7" t="s">
        <v>63</v>
      </c>
      <c r="G13" s="7" t="s">
        <v>64</v>
      </c>
      <c r="H13" s="8" t="s">
        <v>65</v>
      </c>
    </row>
    <row r="14" spans="2:8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</row>
    <row r="15" spans="2:8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</row>
    <row r="16" spans="2:8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</row>
    <row r="17" spans="2:8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</row>
    <row r="18" spans="2:8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</row>
    <row r="19" spans="2:8" ht="19.5" thickBot="1" x14ac:dyDescent="0.45">
      <c r="B19" s="22" t="s">
        <v>68</v>
      </c>
    </row>
    <row r="20" spans="2:8" ht="19.5" thickBot="1" x14ac:dyDescent="0.45">
      <c r="B20" s="6" t="s">
        <v>66</v>
      </c>
      <c r="C20" s="7" t="s">
        <v>60</v>
      </c>
      <c r="D20" s="7" t="s">
        <v>61</v>
      </c>
      <c r="E20" s="7" t="s">
        <v>62</v>
      </c>
      <c r="F20" s="7" t="s">
        <v>63</v>
      </c>
      <c r="G20" s="7" t="s">
        <v>64</v>
      </c>
      <c r="H20" s="8" t="s">
        <v>65</v>
      </c>
    </row>
    <row r="21" spans="2:8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</row>
    <row r="22" spans="2:8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</row>
    <row r="23" spans="2:8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</row>
    <row r="24" spans="2:8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</row>
    <row r="25" spans="2:8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</row>
    <row r="26" spans="2:8" ht="19.5" thickBot="1" x14ac:dyDescent="0.45">
      <c r="B26" s="24" t="s">
        <v>69</v>
      </c>
    </row>
    <row r="27" spans="2:8" ht="19.5" thickBot="1" x14ac:dyDescent="0.45">
      <c r="B27" s="6" t="s">
        <v>66</v>
      </c>
      <c r="C27" s="7" t="s">
        <v>60</v>
      </c>
      <c r="D27" s="7" t="s">
        <v>61</v>
      </c>
      <c r="E27" s="7" t="s">
        <v>62</v>
      </c>
      <c r="F27" s="7" t="s">
        <v>63</v>
      </c>
      <c r="G27" s="7" t="s">
        <v>64</v>
      </c>
      <c r="H27" s="8" t="s">
        <v>65</v>
      </c>
    </row>
    <row r="28" spans="2:8" x14ac:dyDescent="0.4">
      <c r="B28" s="31"/>
      <c r="C28" s="32"/>
      <c r="D28" s="32"/>
      <c r="E28" s="32"/>
      <c r="F28" s="32"/>
      <c r="G28" s="32"/>
      <c r="H28" s="33">
        <v>1</v>
      </c>
    </row>
    <row r="29" spans="2:8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8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8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8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70</v>
      </c>
    </row>
    <row r="35" spans="2:8" ht="19.5" thickBot="1" x14ac:dyDescent="0.45">
      <c r="B35" s="6" t="s">
        <v>66</v>
      </c>
      <c r="C35" s="7" t="s">
        <v>60</v>
      </c>
      <c r="D35" s="7" t="s">
        <v>61</v>
      </c>
      <c r="E35" s="7" t="s">
        <v>62</v>
      </c>
      <c r="F35" s="7" t="s">
        <v>63</v>
      </c>
      <c r="G35" s="7" t="s">
        <v>64</v>
      </c>
      <c r="H35" s="8" t="s">
        <v>65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117</v>
      </c>
    </row>
    <row r="3" spans="2:16" x14ac:dyDescent="0.4">
      <c r="B3" t="s">
        <v>163</v>
      </c>
      <c r="I3" t="s">
        <v>121</v>
      </c>
      <c r="J3" t="s">
        <v>172</v>
      </c>
      <c r="K3" t="s">
        <v>173</v>
      </c>
      <c r="L3" t="s">
        <v>174</v>
      </c>
      <c r="M3" t="s">
        <v>175</v>
      </c>
    </row>
    <row r="4" spans="2:16" x14ac:dyDescent="0.4">
      <c r="B4" t="s">
        <v>1</v>
      </c>
      <c r="C4" t="s">
        <v>4</v>
      </c>
    </row>
    <row r="5" spans="2:16" x14ac:dyDescent="0.4">
      <c r="I5" t="s">
        <v>122</v>
      </c>
    </row>
    <row r="7" spans="2:16" x14ac:dyDescent="0.4">
      <c r="B7" t="s">
        <v>164</v>
      </c>
      <c r="D7" t="s">
        <v>166</v>
      </c>
      <c r="I7" t="s">
        <v>124</v>
      </c>
      <c r="N7" t="s">
        <v>123</v>
      </c>
      <c r="P7" t="s">
        <v>125</v>
      </c>
    </row>
    <row r="8" spans="2:16" x14ac:dyDescent="0.4">
      <c r="B8" t="s">
        <v>163</v>
      </c>
      <c r="D8" t="s">
        <v>163</v>
      </c>
    </row>
    <row r="9" spans="2:16" x14ac:dyDescent="0.4">
      <c r="B9" t="s">
        <v>128</v>
      </c>
      <c r="K9" t="s">
        <v>35</v>
      </c>
      <c r="M9" t="s">
        <v>176</v>
      </c>
    </row>
    <row r="10" spans="2:16" x14ac:dyDescent="0.4">
      <c r="B10" t="s">
        <v>7</v>
      </c>
    </row>
    <row r="11" spans="2:16" x14ac:dyDescent="0.4">
      <c r="B11" t="s">
        <v>46</v>
      </c>
      <c r="H11" t="s">
        <v>1</v>
      </c>
      <c r="J11" t="s">
        <v>4</v>
      </c>
    </row>
    <row r="12" spans="2:16" x14ac:dyDescent="0.4">
      <c r="B12" t="s">
        <v>53</v>
      </c>
    </row>
    <row r="13" spans="2:16" x14ac:dyDescent="0.4">
      <c r="B13" t="s">
        <v>165</v>
      </c>
      <c r="H13" t="s">
        <v>119</v>
      </c>
      <c r="J13" t="s">
        <v>120</v>
      </c>
    </row>
    <row r="14" spans="2:16" x14ac:dyDescent="0.4">
      <c r="B14" t="s">
        <v>98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126</v>
      </c>
    </row>
    <row r="3" spans="1:14" x14ac:dyDescent="0.4">
      <c r="A3" t="s">
        <v>127</v>
      </c>
    </row>
    <row r="4" spans="1:14" x14ac:dyDescent="0.4">
      <c r="A4" t="s">
        <v>128</v>
      </c>
    </row>
    <row r="5" spans="1:14" x14ac:dyDescent="0.4">
      <c r="A5" t="s">
        <v>7</v>
      </c>
    </row>
    <row r="6" spans="1:14" x14ac:dyDescent="0.4">
      <c r="A6" t="s">
        <v>46</v>
      </c>
    </row>
    <row r="7" spans="1:14" x14ac:dyDescent="0.4">
      <c r="A7" t="s">
        <v>53</v>
      </c>
    </row>
    <row r="9" spans="1:14" x14ac:dyDescent="0.4">
      <c r="A9" t="s">
        <v>100</v>
      </c>
      <c r="B9" t="s">
        <v>105</v>
      </c>
      <c r="E9" t="s">
        <v>129</v>
      </c>
    </row>
    <row r="10" spans="1:14" x14ac:dyDescent="0.4">
      <c r="A10" t="s">
        <v>101</v>
      </c>
      <c r="B10" t="s">
        <v>130</v>
      </c>
    </row>
    <row r="11" spans="1:14" x14ac:dyDescent="0.4">
      <c r="A11" t="s">
        <v>102</v>
      </c>
      <c r="B11" t="s">
        <v>131</v>
      </c>
    </row>
    <row r="12" spans="1:14" x14ac:dyDescent="0.4">
      <c r="A12" t="s">
        <v>103</v>
      </c>
      <c r="B12" t="s">
        <v>132</v>
      </c>
    </row>
    <row r="13" spans="1:14" x14ac:dyDescent="0.4">
      <c r="A13" t="s">
        <v>98</v>
      </c>
      <c r="B13" t="s">
        <v>130</v>
      </c>
      <c r="D13" t="s">
        <v>84</v>
      </c>
    </row>
    <row r="15" spans="1:14" x14ac:dyDescent="0.4">
      <c r="A15" t="s">
        <v>134</v>
      </c>
    </row>
    <row r="16" spans="1:14" x14ac:dyDescent="0.4">
      <c r="A16" t="s">
        <v>135</v>
      </c>
      <c r="E16" t="s">
        <v>141</v>
      </c>
      <c r="N16" t="s">
        <v>145</v>
      </c>
    </row>
    <row r="17" spans="1:14" x14ac:dyDescent="0.4">
      <c r="A17" t="s">
        <v>138</v>
      </c>
      <c r="E17" t="s">
        <v>142</v>
      </c>
      <c r="N17" t="s">
        <v>146</v>
      </c>
    </row>
    <row r="18" spans="1:14" x14ac:dyDescent="0.4">
      <c r="A18" t="s">
        <v>139</v>
      </c>
    </row>
    <row r="19" spans="1:14" x14ac:dyDescent="0.4">
      <c r="A19" t="s">
        <v>140</v>
      </c>
    </row>
    <row r="20" spans="1:14" x14ac:dyDescent="0.4">
      <c r="A20" t="s">
        <v>143</v>
      </c>
      <c r="C20" t="s">
        <v>171</v>
      </c>
    </row>
    <row r="21" spans="1:14" x14ac:dyDescent="0.4">
      <c r="A21" t="s">
        <v>147</v>
      </c>
      <c r="B21" t="s">
        <v>148</v>
      </c>
    </row>
    <row r="22" spans="1:14" x14ac:dyDescent="0.4">
      <c r="A22" t="s">
        <v>144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51"/>
  <sheetViews>
    <sheetView tabSelected="1" topLeftCell="A43" workbookViewId="0">
      <selection activeCell="B53" sqref="B53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93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94</v>
      </c>
      <c r="B4" t="s">
        <v>110</v>
      </c>
    </row>
    <row r="5" spans="1:4" x14ac:dyDescent="0.4">
      <c r="A5" t="s">
        <v>53</v>
      </c>
    </row>
    <row r="6" spans="1:4" x14ac:dyDescent="0.4">
      <c r="A6" t="s">
        <v>95</v>
      </c>
      <c r="B6" t="s">
        <v>100</v>
      </c>
      <c r="C6" t="s">
        <v>105</v>
      </c>
      <c r="D6" t="s">
        <v>111</v>
      </c>
    </row>
    <row r="7" spans="1:4" x14ac:dyDescent="0.4">
      <c r="A7" t="s">
        <v>96</v>
      </c>
      <c r="B7" t="s">
        <v>101</v>
      </c>
      <c r="C7" t="s">
        <v>106</v>
      </c>
      <c r="D7" t="s">
        <v>114</v>
      </c>
    </row>
    <row r="8" spans="1:4" x14ac:dyDescent="0.4">
      <c r="A8" t="s">
        <v>97</v>
      </c>
      <c r="B8" t="s">
        <v>102</v>
      </c>
      <c r="C8" t="s">
        <v>107</v>
      </c>
      <c r="D8" t="s">
        <v>112</v>
      </c>
    </row>
    <row r="9" spans="1:4" x14ac:dyDescent="0.4">
      <c r="A9" t="s">
        <v>99</v>
      </c>
      <c r="B9" t="s">
        <v>103</v>
      </c>
      <c r="C9" t="s">
        <v>108</v>
      </c>
      <c r="D9" t="s">
        <v>113</v>
      </c>
    </row>
    <row r="10" spans="1:4" x14ac:dyDescent="0.4">
      <c r="A10" t="s">
        <v>98</v>
      </c>
      <c r="B10" t="s">
        <v>104</v>
      </c>
      <c r="C10" t="s">
        <v>109</v>
      </c>
      <c r="D10" t="s">
        <v>111</v>
      </c>
    </row>
    <row r="12" spans="1:4" x14ac:dyDescent="0.4">
      <c r="A12" t="s">
        <v>115</v>
      </c>
    </row>
    <row r="13" spans="1:4" x14ac:dyDescent="0.4">
      <c r="A13" t="s">
        <v>118</v>
      </c>
    </row>
    <row r="16" spans="1:4" x14ac:dyDescent="0.4">
      <c r="A16" t="s">
        <v>116</v>
      </c>
    </row>
    <row r="18" spans="1:3" x14ac:dyDescent="0.4">
      <c r="A18" t="s">
        <v>133</v>
      </c>
    </row>
    <row r="21" spans="1:3" x14ac:dyDescent="0.4">
      <c r="A21" t="s">
        <v>149</v>
      </c>
      <c r="C21" t="s">
        <v>151</v>
      </c>
    </row>
    <row r="22" spans="1:3" x14ac:dyDescent="0.4">
      <c r="A22" t="s">
        <v>1</v>
      </c>
      <c r="C22" t="s">
        <v>152</v>
      </c>
    </row>
    <row r="23" spans="1:3" x14ac:dyDescent="0.4">
      <c r="A23" t="s">
        <v>4</v>
      </c>
      <c r="C23" t="s">
        <v>127</v>
      </c>
    </row>
    <row r="24" spans="1:3" x14ac:dyDescent="0.4">
      <c r="A24" t="s">
        <v>150</v>
      </c>
      <c r="C24" t="s">
        <v>154</v>
      </c>
    </row>
    <row r="25" spans="1:3" x14ac:dyDescent="0.4">
      <c r="A25" t="s">
        <v>46</v>
      </c>
      <c r="C25" t="s">
        <v>153</v>
      </c>
    </row>
    <row r="26" spans="1:3" x14ac:dyDescent="0.4">
      <c r="C26" t="s">
        <v>155</v>
      </c>
    </row>
    <row r="27" spans="1:3" x14ac:dyDescent="0.4">
      <c r="C27" t="s">
        <v>156</v>
      </c>
    </row>
    <row r="28" spans="1:3" x14ac:dyDescent="0.4">
      <c r="C28" t="s">
        <v>157</v>
      </c>
    </row>
    <row r="30" spans="1:3" x14ac:dyDescent="0.4">
      <c r="C30" t="s">
        <v>158</v>
      </c>
    </row>
    <row r="31" spans="1:3" x14ac:dyDescent="0.4">
      <c r="C31" t="s">
        <v>155</v>
      </c>
    </row>
    <row r="32" spans="1:3" x14ac:dyDescent="0.4">
      <c r="C32" t="s">
        <v>156</v>
      </c>
    </row>
    <row r="33" spans="1:3" x14ac:dyDescent="0.4">
      <c r="C33" t="s">
        <v>127</v>
      </c>
    </row>
    <row r="34" spans="1:3" x14ac:dyDescent="0.4">
      <c r="C34" t="s">
        <v>157</v>
      </c>
    </row>
    <row r="35" spans="1:3" x14ac:dyDescent="0.4">
      <c r="C35" t="s">
        <v>154</v>
      </c>
    </row>
    <row r="36" spans="1:3" x14ac:dyDescent="0.4">
      <c r="C36" t="s">
        <v>153</v>
      </c>
    </row>
    <row r="38" spans="1:3" x14ac:dyDescent="0.4">
      <c r="C38" t="s">
        <v>159</v>
      </c>
    </row>
    <row r="39" spans="1:3" x14ac:dyDescent="0.4">
      <c r="C39" t="s">
        <v>155</v>
      </c>
    </row>
    <row r="40" spans="1:3" x14ac:dyDescent="0.4">
      <c r="C40" t="s">
        <v>157</v>
      </c>
    </row>
    <row r="42" spans="1:3" x14ac:dyDescent="0.4">
      <c r="C42" t="s">
        <v>160</v>
      </c>
    </row>
    <row r="43" spans="1:3" x14ac:dyDescent="0.4">
      <c r="C43" t="s">
        <v>136</v>
      </c>
    </row>
    <row r="44" spans="1:3" x14ac:dyDescent="0.4">
      <c r="C44" t="s">
        <v>137</v>
      </c>
    </row>
    <row r="45" spans="1:3" x14ac:dyDescent="0.4">
      <c r="C45" t="s">
        <v>161</v>
      </c>
    </row>
    <row r="46" spans="1:3" x14ac:dyDescent="0.4">
      <c r="C46" t="s">
        <v>162</v>
      </c>
    </row>
    <row r="48" spans="1:3" x14ac:dyDescent="0.4">
      <c r="A48" t="s">
        <v>167</v>
      </c>
    </row>
    <row r="49" spans="1:1" x14ac:dyDescent="0.4">
      <c r="A49" t="s">
        <v>168</v>
      </c>
    </row>
    <row r="50" spans="1:1" x14ac:dyDescent="0.4">
      <c r="A50" t="s">
        <v>169</v>
      </c>
    </row>
    <row r="51" spans="1:1" x14ac:dyDescent="0.4">
      <c r="A51" t="s">
        <v>170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クラス一覧</vt:lpstr>
      <vt:lpstr>クラス図</vt:lpstr>
      <vt:lpstr>プレイヤー設計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2026-06-04T02:41:53Z</dcterms:modified>
</cp:coreProperties>
</file>